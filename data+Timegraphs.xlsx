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8.xml" ContentType="application/vnd.openxmlformats-officedocument.drawing+xml"/>
  <Override PartName="/xl/tables/table9.xml" ContentType="application/vnd.openxmlformats-officedocument.spreadsheetml.tab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9.xml" ContentType="application/vnd.openxmlformats-officedocument.drawing+xml"/>
  <Override PartName="/xl/tables/table10.xml" ContentType="application/vnd.openxmlformats-officedocument.spreadsheetml.tab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0.xml" ContentType="application/vnd.openxmlformats-officedocument.drawing+xml"/>
  <Override PartName="/xl/tables/table11.xml" ContentType="application/vnd.openxmlformats-officedocument.spreadsheetml.table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11.xml" ContentType="application/vnd.openxmlformats-officedocument.drawing+xml"/>
  <Override PartName="/xl/tables/table12.xml" ContentType="application/vnd.openxmlformats-officedocument.spreadsheetml.table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12.xml" ContentType="application/vnd.openxmlformats-officedocument.drawing+xml"/>
  <Override PartName="/xl/tables/table13.xml" ContentType="application/vnd.openxmlformats-officedocument.spreadsheetml.table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13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inesappelquist/Downloads/"/>
    </mc:Choice>
  </mc:AlternateContent>
  <xr:revisionPtr revIDLastSave="0" documentId="13_ncr:1_{CE4F5F6D-14B1-5045-9C18-89DCDDF48A30}" xr6:coauthVersionLast="47" xr6:coauthVersionMax="47" xr10:uidLastSave="{00000000-0000-0000-0000-000000000000}"/>
  <bookViews>
    <workbookView xWindow="0" yWindow="660" windowWidth="29400" windowHeight="17240" activeTab="13" xr2:uid="{00000000-000D-0000-FFFF-FFFF00000000}"/>
  </bookViews>
  <sheets>
    <sheet name="Summary" sheetId="1" r:id="rId1"/>
    <sheet name="All_Data" sheetId="2" r:id="rId2"/>
    <sheet name="P1" sheetId="3" r:id="rId3"/>
    <sheet name="P2" sheetId="4" r:id="rId4"/>
    <sheet name="P3" sheetId="5" r:id="rId5"/>
    <sheet name="P4a" sheetId="6" r:id="rId6"/>
    <sheet name="P4b" sheetId="7" r:id="rId7"/>
    <sheet name="P4c" sheetId="8" r:id="rId8"/>
    <sheet name="P5" sheetId="9" r:id="rId9"/>
    <sheet name="P6a" sheetId="10" r:id="rId10"/>
    <sheet name="P6b" sheetId="11" r:id="rId11"/>
    <sheet name="P6c" sheetId="12" r:id="rId12"/>
    <sheet name="P6d" sheetId="13" r:id="rId13"/>
    <sheet name="Graphs" sheetId="14" r:id="rId14"/>
  </sheets>
  <definedNames>
    <definedName name="_xlchart.v1.0" hidden="1">Graphs!$A$46:$A$50</definedName>
    <definedName name="_xlchart.v1.1" hidden="1">Graphs!$B$46:$B$50</definedName>
    <definedName name="_xlchart.v1.10" hidden="1">Graphs!$C$34</definedName>
    <definedName name="_xlchart.v1.11" hidden="1">Graphs!$C$35:$C$39</definedName>
    <definedName name="_xlchart.v1.2" hidden="1">Graphs!$C$45</definedName>
    <definedName name="_xlchart.v1.3" hidden="1">Graphs!$C$46:$C$50</definedName>
    <definedName name="_xlchart.v1.4" hidden="1">Graphs!$A$35:$A$39</definedName>
    <definedName name="_xlchart.v1.5" hidden="1">Graphs!$B$35:$B$39</definedName>
    <definedName name="_xlchart.v1.6" hidden="1">Graphs!$C$34</definedName>
    <definedName name="_xlchart.v1.7" hidden="1">Graphs!$C$35:$C$39</definedName>
    <definedName name="_xlchart.v1.8" hidden="1">Graphs!$A$35:$A$39</definedName>
    <definedName name="_xlchart.v1.9" hidden="1">Graphs!$B$35:$B$39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1" l="1"/>
  <c r="L15" i="1"/>
  <c r="K15" i="1"/>
  <c r="J15" i="1"/>
  <c r="I15" i="1"/>
  <c r="H15" i="1"/>
  <c r="G15" i="1"/>
  <c r="F15" i="1"/>
  <c r="E15" i="1"/>
  <c r="D15" i="1"/>
  <c r="M14" i="1"/>
  <c r="L14" i="1"/>
  <c r="K14" i="1"/>
  <c r="J14" i="1"/>
  <c r="I14" i="1"/>
  <c r="H14" i="1"/>
  <c r="G14" i="1"/>
  <c r="F14" i="1"/>
  <c r="E14" i="1"/>
  <c r="D14" i="1"/>
  <c r="M13" i="1"/>
  <c r="L13" i="1"/>
  <c r="K13" i="1"/>
  <c r="J13" i="1"/>
  <c r="I13" i="1"/>
  <c r="H13" i="1"/>
  <c r="G13" i="1"/>
  <c r="F13" i="1"/>
  <c r="E13" i="1"/>
  <c r="D13" i="1"/>
  <c r="M12" i="1"/>
  <c r="L12" i="1"/>
  <c r="K12" i="1"/>
  <c r="J12" i="1"/>
  <c r="I12" i="1"/>
  <c r="H12" i="1"/>
  <c r="G12" i="1"/>
  <c r="F12" i="1"/>
  <c r="E12" i="1"/>
  <c r="D12" i="1"/>
  <c r="M11" i="1"/>
  <c r="L11" i="1"/>
  <c r="K11" i="1"/>
  <c r="J11" i="1"/>
  <c r="I11" i="1"/>
  <c r="H11" i="1"/>
  <c r="G11" i="1"/>
  <c r="F11" i="1"/>
  <c r="E11" i="1"/>
  <c r="D11" i="1"/>
  <c r="M10" i="1"/>
  <c r="L10" i="1"/>
  <c r="K10" i="1"/>
  <c r="J10" i="1"/>
  <c r="I10" i="1"/>
  <c r="H10" i="1"/>
  <c r="G10" i="1"/>
  <c r="F10" i="1"/>
  <c r="E10" i="1"/>
  <c r="D10" i="1"/>
  <c r="M9" i="1"/>
  <c r="L9" i="1"/>
  <c r="K9" i="1"/>
  <c r="J9" i="1"/>
  <c r="I9" i="1"/>
  <c r="H9" i="1"/>
  <c r="G9" i="1"/>
  <c r="F9" i="1"/>
  <c r="E9" i="1"/>
  <c r="D9" i="1"/>
  <c r="M8" i="1"/>
  <c r="L8" i="1"/>
  <c r="K8" i="1"/>
  <c r="J8" i="1"/>
  <c r="I8" i="1"/>
  <c r="H8" i="1"/>
  <c r="G8" i="1"/>
  <c r="F8" i="1"/>
  <c r="E8" i="1"/>
  <c r="D8" i="1"/>
  <c r="M7" i="1"/>
  <c r="L7" i="1"/>
  <c r="K7" i="1"/>
  <c r="J7" i="1"/>
  <c r="I7" i="1"/>
  <c r="H7" i="1"/>
  <c r="G7" i="1"/>
  <c r="F7" i="1"/>
  <c r="E7" i="1"/>
  <c r="D7" i="1"/>
  <c r="M6" i="1"/>
  <c r="L6" i="1"/>
  <c r="K6" i="1"/>
  <c r="J6" i="1"/>
  <c r="I6" i="1"/>
  <c r="H6" i="1"/>
  <c r="G6" i="1"/>
  <c r="F6" i="1"/>
  <c r="E6" i="1"/>
  <c r="D6" i="1"/>
  <c r="M5" i="1"/>
  <c r="L5" i="1"/>
  <c r="K5" i="1"/>
  <c r="J5" i="1"/>
  <c r="I5" i="1"/>
  <c r="H5" i="1"/>
  <c r="G5" i="1"/>
  <c r="F5" i="1"/>
  <c r="E5" i="1"/>
  <c r="D5" i="1"/>
</calcChain>
</file>

<file path=xl/sharedStrings.xml><?xml version="1.0" encoding="utf-8"?>
<sst xmlns="http://schemas.openxmlformats.org/spreadsheetml/2006/main" count="987" uniqueCount="79">
  <si>
    <t>Graphs for CIFAR-10 ConvNet experiments</t>
  </si>
  <si>
    <t>Final model selected by best validation accuracy: P6b — LR Scheduler (Cosine Annealing with Warm Restarts) (90.4%).</t>
  </si>
  <si>
    <t>Epoch</t>
  </si>
  <si>
    <t>Train Acc (%)</t>
  </si>
  <si>
    <t>Val Acc (%)</t>
  </si>
  <si>
    <t>Model</t>
  </si>
  <si>
    <t>Best Val Acc (%)</t>
  </si>
  <si>
    <t>Training Time (min)</t>
  </si>
  <si>
    <t>Raw VGG</t>
  </si>
  <si>
    <t>Dropout</t>
  </si>
  <si>
    <t>Weight decay</t>
  </si>
  <si>
    <t>Augmentation</t>
  </si>
  <si>
    <t>Combined</t>
  </si>
  <si>
    <t>Advanced augmentation</t>
  </si>
  <si>
    <t>Learning-rate scheduler</t>
  </si>
  <si>
    <t>Downsampling</t>
  </si>
  <si>
    <t>Global average pooling</t>
  </si>
  <si>
    <t>Train Loss</t>
  </si>
  <si>
    <t>Val Loss</t>
  </si>
  <si>
    <t>Training Log Summary — Run 2 Only</t>
  </si>
  <si>
    <t>Source: output-PROJECT DL.docx training log. The first run was intentionally excluded; all sheets below treat the second run as the only run.</t>
  </si>
  <si>
    <t>Part</t>
  </si>
  <si>
    <t>Training / Experiment</t>
  </si>
  <si>
    <t>Sheet</t>
  </si>
  <si>
    <t>Epochs</t>
  </si>
  <si>
    <t>Best Val Acc Epoch</t>
  </si>
  <si>
    <t>Best Val Loss</t>
  </si>
  <si>
    <t>Best Val Loss Epoch</t>
  </si>
  <si>
    <t>Final Train Loss</t>
  </si>
  <si>
    <t>Final Val Loss</t>
  </si>
  <si>
    <t>Final Train Acc (%)</t>
  </si>
  <si>
    <t>Final Val Acc (%)</t>
  </si>
  <si>
    <t>1</t>
  </si>
  <si>
    <t>Assignment 3 Replication (Sanity Check)</t>
  </si>
  <si>
    <t>P1</t>
  </si>
  <si>
    <t>2</t>
  </si>
  <si>
    <t>First Upgrade (1 Raw VGG Block - Expect Overfitting)</t>
  </si>
  <si>
    <t>P2</t>
  </si>
  <si>
    <t>3</t>
  </si>
  <si>
    <t>Full Baseline (3 Raw VGG Blocks - Expect Heavy Overfitting)</t>
  </si>
  <si>
    <t>P3</t>
  </si>
  <si>
    <t>4a</t>
  </si>
  <si>
    <t>Dropout ONLY</t>
  </si>
  <si>
    <t>P4a</t>
  </si>
  <si>
    <t>4b</t>
  </si>
  <si>
    <t>L2 Regularization ONLY</t>
  </si>
  <si>
    <t>P4b</t>
  </si>
  <si>
    <t>4c</t>
  </si>
  <si>
    <t>Data Augmentation ONLY</t>
  </si>
  <si>
    <t>P4c</t>
  </si>
  <si>
    <t>5</t>
  </si>
  <si>
    <t>Combined Regularization (Dropout + L2 + Augmentation + BatchNorm)</t>
  </si>
  <si>
    <t>P5</t>
  </si>
  <si>
    <t>6a</t>
  </si>
  <si>
    <t>Adv. Augmentation (Cut-out + Label Smoothing)</t>
  </si>
  <si>
    <t>P6a</t>
  </si>
  <si>
    <t>6b</t>
  </si>
  <si>
    <t>LR Scheduler (Cosine Annealing with Warm Restarts)</t>
  </si>
  <si>
    <t>P6b</t>
  </si>
  <si>
    <t>6c</t>
  </si>
  <si>
    <t>Stride 2 Down-sampling (No MaxPool)</t>
  </si>
  <si>
    <t>P6c</t>
  </si>
  <si>
    <t>6d</t>
  </si>
  <si>
    <t>Global Average Pooling (Replacing FC Layer)</t>
  </si>
  <si>
    <t>P6d</t>
  </si>
  <si>
    <t>All Epoch Data — Run 2 Only</t>
  </si>
  <si>
    <t>Part 1: Assignment 3 Replication (Sanity Check)</t>
  </si>
  <si>
    <t>Experiment</t>
  </si>
  <si>
    <t>Part 2: First Upgrade (1 Raw VGG Block - Expect Overfitting)</t>
  </si>
  <si>
    <t>Part 3: Full Baseline (3 Raw VGG Blocks - Expect Heavy Overfitting)</t>
  </si>
  <si>
    <t>Part 4a: Dropout ONLY</t>
  </si>
  <si>
    <t>Part 4b: L2 Regularization ONLY</t>
  </si>
  <si>
    <t>Part 4c: Data Augmentation ONLY</t>
  </si>
  <si>
    <t>Part 5: Combined Regularization (Dropout + L2 + Augmentation + BatchNorm)</t>
  </si>
  <si>
    <t>Part 6a: Adv. Augmentation (Cut-out + Label Smoothing)</t>
  </si>
  <si>
    <t>Part 6b: LR Scheduler (Cosine Annealing with Warm Restarts)</t>
  </si>
  <si>
    <t>Part 6c: Stride 2 Down-sampling (No MaxPool)</t>
  </si>
  <si>
    <t>Part 6d: Global Average Pooling (Replacing FC Layer)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</si>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</sst>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7">
    <font>
      <sz val="11"/>
      <name val="Carlito"/>
    </font>
    <font>
      <b/>
      <sz val="14"/>
      <color rgb="FFFFFFFF"/>
      <name val="Carlito"/>
    </font>
    <font>
      <i/>
      <sz val="11"/>
      <color rgb="FF595959"/>
      <name val="Carlito"/>
    </font>
    <font>
      <b/>
      <sz val="11"/>
      <color rgb="FFFFFFFF"/>
      <name val="Carlito"/>
    </font>
    <font>
      <b/>
      <sz val="11"/>
      <color rgb="FF1F4E78"/>
      <name val="Carlito"/>
    </font>
    <font>
      <b/>
      <sz val="16"/>
      <color rgb="FFFFFFFF"/>
      <name val="Carlito"/>
    </font>
    <font>
      <i/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0B1F33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 wrapText="1"/>
    </xf>
    <xf numFmtId="164" fontId="0" fillId="0" borderId="0" xfId="0" applyNumberFormat="1"/>
    <xf numFmtId="2" fontId="0" fillId="0" borderId="0" xfId="0" applyNumberFormat="1"/>
    <xf numFmtId="0" fontId="4" fillId="5" borderId="0" xfId="0" applyFont="1" applyFill="1"/>
    <xf numFmtId="0" fontId="0" fillId="0" borderId="0" xfId="0" applyAlignment="1">
      <alignment wrapText="1"/>
    </xf>
    <xf numFmtId="0" fontId="3" fillId="6" borderId="0" xfId="0" applyFont="1" applyFill="1" applyAlignment="1">
      <alignment horizontal="center"/>
    </xf>
    <xf numFmtId="165" fontId="0" fillId="0" borderId="0" xfId="0" applyNumberFormat="1"/>
    <xf numFmtId="0" fontId="6" fillId="8" borderId="0" xfId="0" applyFont="1" applyFill="1" applyAlignment="1">
      <alignment wrapText="1"/>
    </xf>
    <xf numFmtId="0" fontId="0" fillId="0" borderId="0" xfId="0"/>
    <xf numFmtId="0" fontId="5" fillId="7" borderId="0" xfId="0" applyFont="1" applyFill="1" applyAlignment="1">
      <alignment horizontal="center"/>
    </xf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Best Val Acc (%)</c:v>
          </c:tx>
          <c:spPr>
            <a:ln>
              <a:prstDash val="solid"/>
            </a:ln>
          </c:spPr>
          <c:invertIfNegative val="1"/>
          <c:cat>
            <c:strRef>
              <c:f>Summary!$A$5:$A$15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4a</c:v>
                </c:pt>
                <c:pt idx="4">
                  <c:v>4b</c:v>
                </c:pt>
                <c:pt idx="5">
                  <c:v>4c</c:v>
                </c:pt>
                <c:pt idx="6">
                  <c:v>5</c:v>
                </c:pt>
                <c:pt idx="7">
                  <c:v>6a</c:v>
                </c:pt>
                <c:pt idx="8">
                  <c:v>6b</c:v>
                </c:pt>
                <c:pt idx="9">
                  <c:v>6c</c:v>
                </c:pt>
                <c:pt idx="10">
                  <c:v>6d</c:v>
                </c:pt>
              </c:strCache>
            </c:strRef>
          </c:cat>
          <c:val>
            <c:numRef>
              <c:f>Summary!$F$5:$F$15</c:f>
              <c:numCache>
                <c:formatCode>0.00</c:formatCode>
                <c:ptCount val="11"/>
                <c:pt idx="0">
                  <c:v>57.5</c:v>
                </c:pt>
                <c:pt idx="1">
                  <c:v>72.099999999999994</c:v>
                </c:pt>
                <c:pt idx="2">
                  <c:v>76</c:v>
                </c:pt>
                <c:pt idx="3">
                  <c:v>85.3</c:v>
                </c:pt>
                <c:pt idx="4">
                  <c:v>82.9</c:v>
                </c:pt>
                <c:pt idx="5">
                  <c:v>88.4</c:v>
                </c:pt>
                <c:pt idx="6">
                  <c:v>89.7</c:v>
                </c:pt>
                <c:pt idx="7">
                  <c:v>89</c:v>
                </c:pt>
                <c:pt idx="8">
                  <c:v>90.4</c:v>
                </c:pt>
                <c:pt idx="9">
                  <c:v>88.8</c:v>
                </c:pt>
                <c:pt idx="10">
                  <c:v>90.1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5-1F49-B02B-F4DE3F8D0299}"/>
            </c:ext>
          </c:extLst>
        </c:ser>
        <c:ser>
          <c:idx val="1"/>
          <c:order val="1"/>
          <c:tx>
            <c:v>Final Val Acc (%)</c:v>
          </c:tx>
          <c:spPr>
            <a:ln>
              <a:prstDash val="solid"/>
            </a:ln>
          </c:spPr>
          <c:invertIfNegative val="1"/>
          <c:cat>
            <c:strRef>
              <c:f>Summary!$A$5:$A$15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4a</c:v>
                </c:pt>
                <c:pt idx="4">
                  <c:v>4b</c:v>
                </c:pt>
                <c:pt idx="5">
                  <c:v>4c</c:v>
                </c:pt>
                <c:pt idx="6">
                  <c:v>5</c:v>
                </c:pt>
                <c:pt idx="7">
                  <c:v>6a</c:v>
                </c:pt>
                <c:pt idx="8">
                  <c:v>6b</c:v>
                </c:pt>
                <c:pt idx="9">
                  <c:v>6c</c:v>
                </c:pt>
                <c:pt idx="10">
                  <c:v>6d</c:v>
                </c:pt>
              </c:strCache>
            </c:strRef>
          </c:cat>
          <c:val>
            <c:numRef>
              <c:f>Summary!$M$5:$M$15</c:f>
              <c:numCache>
                <c:formatCode>0.00</c:formatCode>
                <c:ptCount val="11"/>
                <c:pt idx="0">
                  <c:v>52.1</c:v>
                </c:pt>
                <c:pt idx="1">
                  <c:v>69.099999999999994</c:v>
                </c:pt>
                <c:pt idx="2">
                  <c:v>73.7</c:v>
                </c:pt>
                <c:pt idx="3">
                  <c:v>85</c:v>
                </c:pt>
                <c:pt idx="4">
                  <c:v>80.900000000000006</c:v>
                </c:pt>
                <c:pt idx="5">
                  <c:v>88.4</c:v>
                </c:pt>
                <c:pt idx="6">
                  <c:v>89.7</c:v>
                </c:pt>
                <c:pt idx="7">
                  <c:v>89</c:v>
                </c:pt>
                <c:pt idx="8">
                  <c:v>90.1</c:v>
                </c:pt>
                <c:pt idx="9">
                  <c:v>88.5</c:v>
                </c:pt>
                <c:pt idx="10">
                  <c:v>89.5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85-1F49-B02B-F4DE3F8D0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'P1'!$A$6:$A$15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'P1'!$B$6:$B$15</c:f>
              <c:numCache>
                <c:formatCode>0.0000</c:formatCode>
                <c:ptCount val="10"/>
                <c:pt idx="0">
                  <c:v>1.8299000000000001</c:v>
                </c:pt>
                <c:pt idx="1">
                  <c:v>1.4882</c:v>
                </c:pt>
                <c:pt idx="2">
                  <c:v>1.4004000000000001</c:v>
                </c:pt>
                <c:pt idx="3">
                  <c:v>1.2555000000000001</c:v>
                </c:pt>
                <c:pt idx="4">
                  <c:v>1.1597</c:v>
                </c:pt>
                <c:pt idx="5">
                  <c:v>1.292</c:v>
                </c:pt>
                <c:pt idx="6">
                  <c:v>1.3282</c:v>
                </c:pt>
                <c:pt idx="7">
                  <c:v>1.2150000000000001</c:v>
                </c:pt>
                <c:pt idx="8">
                  <c:v>1.0771999999999999</c:v>
                </c:pt>
                <c:pt idx="9">
                  <c:v>1.2256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8E-A04B-ADB6-90BD7CBB1356}"/>
            </c:ext>
          </c:extLst>
        </c:ser>
        <c:ser>
          <c:idx val="1"/>
          <c:order val="1"/>
          <c:tx>
            <c:v>Val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'P1'!$A$6:$A$15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'P1'!$C$6:$C$15</c:f>
              <c:numCache>
                <c:formatCode>0.0000</c:formatCode>
                <c:ptCount val="10"/>
                <c:pt idx="0">
                  <c:v>1.5705</c:v>
                </c:pt>
                <c:pt idx="1">
                  <c:v>1.4520999999999999</c:v>
                </c:pt>
                <c:pt idx="2">
                  <c:v>1.3609</c:v>
                </c:pt>
                <c:pt idx="3">
                  <c:v>1.2204999999999999</c:v>
                </c:pt>
                <c:pt idx="4">
                  <c:v>1.2726</c:v>
                </c:pt>
                <c:pt idx="5">
                  <c:v>1.3616999999999999</c:v>
                </c:pt>
                <c:pt idx="6">
                  <c:v>1.335</c:v>
                </c:pt>
                <c:pt idx="7">
                  <c:v>1.2685</c:v>
                </c:pt>
                <c:pt idx="8">
                  <c:v>1.2988999999999999</c:v>
                </c:pt>
                <c:pt idx="9">
                  <c:v>1.3214999999999999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8E-A04B-ADB6-90BD7CBB1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'P1'!$A$6:$A$15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'P1'!$D$6:$D$15</c:f>
              <c:numCache>
                <c:formatCode>0.00</c:formatCode>
                <c:ptCount val="10"/>
                <c:pt idx="0">
                  <c:v>34.14</c:v>
                </c:pt>
                <c:pt idx="1">
                  <c:v>46.8</c:v>
                </c:pt>
                <c:pt idx="2">
                  <c:v>50.25</c:v>
                </c:pt>
                <c:pt idx="3">
                  <c:v>55.74</c:v>
                </c:pt>
                <c:pt idx="4">
                  <c:v>58.92</c:v>
                </c:pt>
                <c:pt idx="5">
                  <c:v>54.11</c:v>
                </c:pt>
                <c:pt idx="6">
                  <c:v>52.93</c:v>
                </c:pt>
                <c:pt idx="7">
                  <c:v>56.99</c:v>
                </c:pt>
                <c:pt idx="8">
                  <c:v>62.17</c:v>
                </c:pt>
                <c:pt idx="9">
                  <c:v>56.4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0E-5646-A4AD-24D456FE480A}"/>
            </c:ext>
          </c:extLst>
        </c:ser>
        <c:ser>
          <c:idx val="1"/>
          <c:order val="1"/>
          <c:tx>
            <c:v>Val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'P1'!$A$6:$A$15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'P1'!$E$6:$E$15</c:f>
              <c:numCache>
                <c:formatCode>0.00</c:formatCode>
                <c:ptCount val="10"/>
                <c:pt idx="0">
                  <c:v>43.3</c:v>
                </c:pt>
                <c:pt idx="1">
                  <c:v>49.7</c:v>
                </c:pt>
                <c:pt idx="2">
                  <c:v>52.3</c:v>
                </c:pt>
                <c:pt idx="3">
                  <c:v>57.5</c:v>
                </c:pt>
                <c:pt idx="4">
                  <c:v>54.8</c:v>
                </c:pt>
                <c:pt idx="5">
                  <c:v>52</c:v>
                </c:pt>
                <c:pt idx="6">
                  <c:v>53.8</c:v>
                </c:pt>
                <c:pt idx="7">
                  <c:v>55.3</c:v>
                </c:pt>
                <c:pt idx="8">
                  <c:v>54.2</c:v>
                </c:pt>
                <c:pt idx="9">
                  <c:v>52.1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0E-5646-A4AD-24D456FE4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'P2'!$A$6:$A$30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'P2'!$B$6:$B$30</c:f>
              <c:numCache>
                <c:formatCode>0.0000</c:formatCode>
                <c:ptCount val="25"/>
                <c:pt idx="0">
                  <c:v>1.4305000000000001</c:v>
                </c:pt>
                <c:pt idx="1">
                  <c:v>1.0444</c:v>
                </c:pt>
                <c:pt idx="2">
                  <c:v>0.87519999999999998</c:v>
                </c:pt>
                <c:pt idx="3">
                  <c:v>0.74970000000000003</c:v>
                </c:pt>
                <c:pt idx="4">
                  <c:v>0.64790000000000003</c:v>
                </c:pt>
                <c:pt idx="5">
                  <c:v>0.55200000000000005</c:v>
                </c:pt>
                <c:pt idx="6">
                  <c:v>0.46710000000000002</c:v>
                </c:pt>
                <c:pt idx="7">
                  <c:v>0.3846</c:v>
                </c:pt>
                <c:pt idx="8">
                  <c:v>0.30299999999999999</c:v>
                </c:pt>
                <c:pt idx="9">
                  <c:v>0.2351</c:v>
                </c:pt>
                <c:pt idx="10">
                  <c:v>0.19109999999999999</c:v>
                </c:pt>
                <c:pt idx="11">
                  <c:v>0.1457</c:v>
                </c:pt>
                <c:pt idx="12">
                  <c:v>0.13439999999999999</c:v>
                </c:pt>
                <c:pt idx="13">
                  <c:v>0.10920000000000001</c:v>
                </c:pt>
                <c:pt idx="14">
                  <c:v>9.8000000000000004E-2</c:v>
                </c:pt>
                <c:pt idx="15">
                  <c:v>9.0899999999999995E-2</c:v>
                </c:pt>
                <c:pt idx="16">
                  <c:v>7.8200000000000006E-2</c:v>
                </c:pt>
                <c:pt idx="17">
                  <c:v>8.1600000000000006E-2</c:v>
                </c:pt>
                <c:pt idx="18">
                  <c:v>7.8399999999999997E-2</c:v>
                </c:pt>
                <c:pt idx="19">
                  <c:v>6.1899999999999997E-2</c:v>
                </c:pt>
                <c:pt idx="20">
                  <c:v>6.6799999999999998E-2</c:v>
                </c:pt>
                <c:pt idx="21">
                  <c:v>7.3999999999999996E-2</c:v>
                </c:pt>
                <c:pt idx="22">
                  <c:v>4.6899999999999997E-2</c:v>
                </c:pt>
                <c:pt idx="23">
                  <c:v>0.05</c:v>
                </c:pt>
                <c:pt idx="24">
                  <c:v>6.7500000000000004E-2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07-0440-8203-F351D7E4E9A3}"/>
            </c:ext>
          </c:extLst>
        </c:ser>
        <c:ser>
          <c:idx val="1"/>
          <c:order val="1"/>
          <c:tx>
            <c:v>Val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'P2'!$A$6:$A$30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'P2'!$C$6:$C$30</c:f>
              <c:numCache>
                <c:formatCode>0.0000</c:formatCode>
                <c:ptCount val="25"/>
                <c:pt idx="0">
                  <c:v>1.1332</c:v>
                </c:pt>
                <c:pt idx="1">
                  <c:v>0.98170000000000002</c:v>
                </c:pt>
                <c:pt idx="2">
                  <c:v>0.90300000000000002</c:v>
                </c:pt>
                <c:pt idx="3">
                  <c:v>0.84619999999999995</c:v>
                </c:pt>
                <c:pt idx="4">
                  <c:v>0.87560000000000004</c:v>
                </c:pt>
                <c:pt idx="5">
                  <c:v>0.89319999999999999</c:v>
                </c:pt>
                <c:pt idx="6">
                  <c:v>0.91969999999999996</c:v>
                </c:pt>
                <c:pt idx="7">
                  <c:v>1.0161</c:v>
                </c:pt>
                <c:pt idx="8">
                  <c:v>1.125</c:v>
                </c:pt>
                <c:pt idx="9">
                  <c:v>1.2685</c:v>
                </c:pt>
                <c:pt idx="10">
                  <c:v>1.3140000000000001</c:v>
                </c:pt>
                <c:pt idx="11">
                  <c:v>1.5109999999999999</c:v>
                </c:pt>
                <c:pt idx="12">
                  <c:v>1.6425000000000001</c:v>
                </c:pt>
                <c:pt idx="13">
                  <c:v>1.7097</c:v>
                </c:pt>
                <c:pt idx="14">
                  <c:v>1.8057000000000001</c:v>
                </c:pt>
                <c:pt idx="15">
                  <c:v>1.915</c:v>
                </c:pt>
                <c:pt idx="16">
                  <c:v>2.14</c:v>
                </c:pt>
                <c:pt idx="17">
                  <c:v>2.0560999999999998</c:v>
                </c:pt>
                <c:pt idx="18">
                  <c:v>2.2688000000000001</c:v>
                </c:pt>
                <c:pt idx="19">
                  <c:v>2.2900999999999998</c:v>
                </c:pt>
                <c:pt idx="20">
                  <c:v>2.4296000000000002</c:v>
                </c:pt>
                <c:pt idx="21">
                  <c:v>2.2334999999999998</c:v>
                </c:pt>
                <c:pt idx="22">
                  <c:v>2.3672</c:v>
                </c:pt>
                <c:pt idx="23">
                  <c:v>2.4260999999999999</c:v>
                </c:pt>
                <c:pt idx="24">
                  <c:v>2.4108999999999998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07-0440-8203-F351D7E4E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'P2'!$A$6:$A$30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'P2'!$D$6:$D$30</c:f>
              <c:numCache>
                <c:formatCode>0.00</c:formatCode>
                <c:ptCount val="25"/>
                <c:pt idx="0">
                  <c:v>48.6</c:v>
                </c:pt>
                <c:pt idx="1">
                  <c:v>62.82</c:v>
                </c:pt>
                <c:pt idx="2">
                  <c:v>68.819999999999993</c:v>
                </c:pt>
                <c:pt idx="3">
                  <c:v>73.52</c:v>
                </c:pt>
                <c:pt idx="4">
                  <c:v>77.13</c:v>
                </c:pt>
                <c:pt idx="5">
                  <c:v>80.64</c:v>
                </c:pt>
                <c:pt idx="6">
                  <c:v>83.44</c:v>
                </c:pt>
                <c:pt idx="7">
                  <c:v>86.34</c:v>
                </c:pt>
                <c:pt idx="8">
                  <c:v>89.27</c:v>
                </c:pt>
                <c:pt idx="9">
                  <c:v>91.73</c:v>
                </c:pt>
                <c:pt idx="10">
                  <c:v>93.11</c:v>
                </c:pt>
                <c:pt idx="11">
                  <c:v>94.95</c:v>
                </c:pt>
                <c:pt idx="12">
                  <c:v>95.2</c:v>
                </c:pt>
                <c:pt idx="13">
                  <c:v>96.16</c:v>
                </c:pt>
                <c:pt idx="14">
                  <c:v>96.64</c:v>
                </c:pt>
                <c:pt idx="15">
                  <c:v>96.89</c:v>
                </c:pt>
                <c:pt idx="16">
                  <c:v>97.32</c:v>
                </c:pt>
                <c:pt idx="17">
                  <c:v>97.18</c:v>
                </c:pt>
                <c:pt idx="18">
                  <c:v>97.21</c:v>
                </c:pt>
                <c:pt idx="19">
                  <c:v>97.95</c:v>
                </c:pt>
                <c:pt idx="20">
                  <c:v>97.72</c:v>
                </c:pt>
                <c:pt idx="21">
                  <c:v>97.4</c:v>
                </c:pt>
                <c:pt idx="22">
                  <c:v>98.41</c:v>
                </c:pt>
                <c:pt idx="23">
                  <c:v>98.22</c:v>
                </c:pt>
                <c:pt idx="24">
                  <c:v>97.65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D6-064E-8A2B-5319526AD413}"/>
            </c:ext>
          </c:extLst>
        </c:ser>
        <c:ser>
          <c:idx val="1"/>
          <c:order val="1"/>
          <c:tx>
            <c:v>Val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'P2'!$A$6:$A$30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'P2'!$E$6:$E$30</c:f>
              <c:numCache>
                <c:formatCode>0.00</c:formatCode>
                <c:ptCount val="25"/>
                <c:pt idx="0">
                  <c:v>59.8</c:v>
                </c:pt>
                <c:pt idx="1">
                  <c:v>64.400000000000006</c:v>
                </c:pt>
                <c:pt idx="2">
                  <c:v>69</c:v>
                </c:pt>
                <c:pt idx="3">
                  <c:v>70.900000000000006</c:v>
                </c:pt>
                <c:pt idx="4">
                  <c:v>69.3</c:v>
                </c:pt>
                <c:pt idx="5">
                  <c:v>69.900000000000006</c:v>
                </c:pt>
                <c:pt idx="6">
                  <c:v>72.099999999999994</c:v>
                </c:pt>
                <c:pt idx="7">
                  <c:v>70.7</c:v>
                </c:pt>
                <c:pt idx="8">
                  <c:v>71.099999999999994</c:v>
                </c:pt>
                <c:pt idx="9">
                  <c:v>70.099999999999994</c:v>
                </c:pt>
                <c:pt idx="10">
                  <c:v>69.3</c:v>
                </c:pt>
                <c:pt idx="11">
                  <c:v>70.099999999999994</c:v>
                </c:pt>
                <c:pt idx="12">
                  <c:v>69.7</c:v>
                </c:pt>
                <c:pt idx="13">
                  <c:v>69.7</c:v>
                </c:pt>
                <c:pt idx="14">
                  <c:v>69.5</c:v>
                </c:pt>
                <c:pt idx="15">
                  <c:v>70</c:v>
                </c:pt>
                <c:pt idx="16">
                  <c:v>67.7</c:v>
                </c:pt>
                <c:pt idx="17">
                  <c:v>68.5</c:v>
                </c:pt>
                <c:pt idx="18">
                  <c:v>67.8</c:v>
                </c:pt>
                <c:pt idx="19">
                  <c:v>67.900000000000006</c:v>
                </c:pt>
                <c:pt idx="20">
                  <c:v>68.400000000000006</c:v>
                </c:pt>
                <c:pt idx="21">
                  <c:v>69.5</c:v>
                </c:pt>
                <c:pt idx="22">
                  <c:v>70.5</c:v>
                </c:pt>
                <c:pt idx="23">
                  <c:v>69</c:v>
                </c:pt>
                <c:pt idx="24">
                  <c:v>69.099999999999994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D6-064E-8A2B-5319526AD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'P3'!$A$6:$A$30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'P3'!$B$6:$B$30</c:f>
              <c:numCache>
                <c:formatCode>0.0000</c:formatCode>
                <c:ptCount val="25"/>
                <c:pt idx="0">
                  <c:v>1.7152000000000001</c:v>
                </c:pt>
                <c:pt idx="1">
                  <c:v>1.2508999999999999</c:v>
                </c:pt>
                <c:pt idx="2">
                  <c:v>1.0105</c:v>
                </c:pt>
                <c:pt idx="3">
                  <c:v>0.86470000000000002</c:v>
                </c:pt>
                <c:pt idx="4">
                  <c:v>0.74519999999999997</c:v>
                </c:pt>
                <c:pt idx="5">
                  <c:v>0.63649999999999995</c:v>
                </c:pt>
                <c:pt idx="6">
                  <c:v>0.53959999999999997</c:v>
                </c:pt>
                <c:pt idx="7">
                  <c:v>0.45279999999999998</c:v>
                </c:pt>
                <c:pt idx="8">
                  <c:v>0.3876</c:v>
                </c:pt>
                <c:pt idx="9">
                  <c:v>0.29880000000000001</c:v>
                </c:pt>
                <c:pt idx="10">
                  <c:v>0.251</c:v>
                </c:pt>
                <c:pt idx="11">
                  <c:v>0.1946</c:v>
                </c:pt>
                <c:pt idx="12">
                  <c:v>0.1704</c:v>
                </c:pt>
                <c:pt idx="13">
                  <c:v>0.152</c:v>
                </c:pt>
                <c:pt idx="14">
                  <c:v>0.12859999999999999</c:v>
                </c:pt>
                <c:pt idx="15">
                  <c:v>0.1137</c:v>
                </c:pt>
                <c:pt idx="16">
                  <c:v>0.10979999999999999</c:v>
                </c:pt>
                <c:pt idx="17">
                  <c:v>9.5600000000000004E-2</c:v>
                </c:pt>
                <c:pt idx="18">
                  <c:v>9.5899999999999999E-2</c:v>
                </c:pt>
                <c:pt idx="19">
                  <c:v>8.3799999999999999E-2</c:v>
                </c:pt>
                <c:pt idx="20">
                  <c:v>7.9299999999999995E-2</c:v>
                </c:pt>
                <c:pt idx="21">
                  <c:v>8.3099999999999993E-2</c:v>
                </c:pt>
                <c:pt idx="22">
                  <c:v>8.4500000000000006E-2</c:v>
                </c:pt>
                <c:pt idx="23">
                  <c:v>7.8899999999999998E-2</c:v>
                </c:pt>
                <c:pt idx="24">
                  <c:v>7.7499999999999999E-2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77-EC44-BFE1-B1B4D0D9E7D3}"/>
            </c:ext>
          </c:extLst>
        </c:ser>
        <c:ser>
          <c:idx val="1"/>
          <c:order val="1"/>
          <c:tx>
            <c:v>Val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'P3'!$A$6:$A$30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'P3'!$C$6:$C$30</c:f>
              <c:numCache>
                <c:formatCode>0.0000</c:formatCode>
                <c:ptCount val="25"/>
                <c:pt idx="0">
                  <c:v>1.423</c:v>
                </c:pt>
                <c:pt idx="1">
                  <c:v>1.1785000000000001</c:v>
                </c:pt>
                <c:pt idx="2">
                  <c:v>0.92620000000000002</c:v>
                </c:pt>
                <c:pt idx="3">
                  <c:v>0.88249999999999995</c:v>
                </c:pt>
                <c:pt idx="4">
                  <c:v>0.84109999999999996</c:v>
                </c:pt>
                <c:pt idx="5">
                  <c:v>0.76990000000000003</c:v>
                </c:pt>
                <c:pt idx="6">
                  <c:v>0.82479999999999998</c:v>
                </c:pt>
                <c:pt idx="7">
                  <c:v>0.80740000000000001</c:v>
                </c:pt>
                <c:pt idx="8">
                  <c:v>0.82909999999999995</c:v>
                </c:pt>
                <c:pt idx="9">
                  <c:v>0.89649999999999996</c:v>
                </c:pt>
                <c:pt idx="10">
                  <c:v>0.95450000000000002</c:v>
                </c:pt>
                <c:pt idx="11">
                  <c:v>1.0072000000000001</c:v>
                </c:pt>
                <c:pt idx="12">
                  <c:v>1.1775</c:v>
                </c:pt>
                <c:pt idx="13">
                  <c:v>1.1423000000000001</c:v>
                </c:pt>
                <c:pt idx="14">
                  <c:v>1.1033999999999999</c:v>
                </c:pt>
                <c:pt idx="15">
                  <c:v>1.3053999999999999</c:v>
                </c:pt>
                <c:pt idx="16">
                  <c:v>1.1932</c:v>
                </c:pt>
                <c:pt idx="17">
                  <c:v>1.4016</c:v>
                </c:pt>
                <c:pt idx="18">
                  <c:v>1.3666</c:v>
                </c:pt>
                <c:pt idx="19">
                  <c:v>1.5169999999999999</c:v>
                </c:pt>
                <c:pt idx="20">
                  <c:v>1.4346000000000001</c:v>
                </c:pt>
                <c:pt idx="21">
                  <c:v>1.4438</c:v>
                </c:pt>
                <c:pt idx="22">
                  <c:v>1.4710000000000001</c:v>
                </c:pt>
                <c:pt idx="23">
                  <c:v>1.5333000000000001</c:v>
                </c:pt>
                <c:pt idx="24">
                  <c:v>1.4793000000000001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77-EC44-BFE1-B1B4D0D9E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'P3'!$A$6:$A$30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'P3'!$D$6:$D$30</c:f>
              <c:numCache>
                <c:formatCode>0.00</c:formatCode>
                <c:ptCount val="25"/>
                <c:pt idx="0">
                  <c:v>35.72</c:v>
                </c:pt>
                <c:pt idx="1">
                  <c:v>54.33</c:v>
                </c:pt>
                <c:pt idx="2">
                  <c:v>63.66</c:v>
                </c:pt>
                <c:pt idx="3">
                  <c:v>69.19</c:v>
                </c:pt>
                <c:pt idx="4">
                  <c:v>73.66</c:v>
                </c:pt>
                <c:pt idx="5">
                  <c:v>77.59</c:v>
                </c:pt>
                <c:pt idx="6">
                  <c:v>80.91</c:v>
                </c:pt>
                <c:pt idx="7">
                  <c:v>84.17</c:v>
                </c:pt>
                <c:pt idx="8">
                  <c:v>86.22</c:v>
                </c:pt>
                <c:pt idx="9">
                  <c:v>89.55</c:v>
                </c:pt>
                <c:pt idx="10">
                  <c:v>91.13</c:v>
                </c:pt>
                <c:pt idx="11">
                  <c:v>93.09</c:v>
                </c:pt>
                <c:pt idx="12">
                  <c:v>94</c:v>
                </c:pt>
                <c:pt idx="13">
                  <c:v>94.64</c:v>
                </c:pt>
                <c:pt idx="14">
                  <c:v>95.54</c:v>
                </c:pt>
                <c:pt idx="15">
                  <c:v>96.02</c:v>
                </c:pt>
                <c:pt idx="16">
                  <c:v>96.22</c:v>
                </c:pt>
                <c:pt idx="17">
                  <c:v>96.74</c:v>
                </c:pt>
                <c:pt idx="18">
                  <c:v>96.67</c:v>
                </c:pt>
                <c:pt idx="19">
                  <c:v>97.17</c:v>
                </c:pt>
                <c:pt idx="20">
                  <c:v>97.37</c:v>
                </c:pt>
                <c:pt idx="21">
                  <c:v>97.12</c:v>
                </c:pt>
                <c:pt idx="22">
                  <c:v>97.15</c:v>
                </c:pt>
                <c:pt idx="23">
                  <c:v>97.28</c:v>
                </c:pt>
                <c:pt idx="24">
                  <c:v>97.37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F8-FC4A-A51C-69D53FF71819}"/>
            </c:ext>
          </c:extLst>
        </c:ser>
        <c:ser>
          <c:idx val="1"/>
          <c:order val="1"/>
          <c:tx>
            <c:v>Val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'P3'!$A$6:$A$30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'P3'!$E$6:$E$30</c:f>
              <c:numCache>
                <c:formatCode>0.00</c:formatCode>
                <c:ptCount val="25"/>
                <c:pt idx="0">
                  <c:v>48.5</c:v>
                </c:pt>
                <c:pt idx="1">
                  <c:v>59.5</c:v>
                </c:pt>
                <c:pt idx="2">
                  <c:v>66.5</c:v>
                </c:pt>
                <c:pt idx="3">
                  <c:v>68.2</c:v>
                </c:pt>
                <c:pt idx="4">
                  <c:v>69.8</c:v>
                </c:pt>
                <c:pt idx="5">
                  <c:v>72.599999999999994</c:v>
                </c:pt>
                <c:pt idx="6">
                  <c:v>72.900000000000006</c:v>
                </c:pt>
                <c:pt idx="7">
                  <c:v>74.400000000000006</c:v>
                </c:pt>
                <c:pt idx="8">
                  <c:v>76</c:v>
                </c:pt>
                <c:pt idx="9">
                  <c:v>75.7</c:v>
                </c:pt>
                <c:pt idx="10">
                  <c:v>73.900000000000006</c:v>
                </c:pt>
                <c:pt idx="11">
                  <c:v>74.8</c:v>
                </c:pt>
                <c:pt idx="12">
                  <c:v>74.400000000000006</c:v>
                </c:pt>
                <c:pt idx="13">
                  <c:v>73.599999999999994</c:v>
                </c:pt>
                <c:pt idx="14">
                  <c:v>74.900000000000006</c:v>
                </c:pt>
                <c:pt idx="15">
                  <c:v>74.3</c:v>
                </c:pt>
                <c:pt idx="16">
                  <c:v>75.5</c:v>
                </c:pt>
                <c:pt idx="17">
                  <c:v>73.8</c:v>
                </c:pt>
                <c:pt idx="18">
                  <c:v>74.099999999999994</c:v>
                </c:pt>
                <c:pt idx="19">
                  <c:v>74.599999999999994</c:v>
                </c:pt>
                <c:pt idx="20">
                  <c:v>75.2</c:v>
                </c:pt>
                <c:pt idx="21">
                  <c:v>73.8</c:v>
                </c:pt>
                <c:pt idx="22">
                  <c:v>73.8</c:v>
                </c:pt>
                <c:pt idx="23">
                  <c:v>74</c:v>
                </c:pt>
                <c:pt idx="24">
                  <c:v>73.7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F8-FC4A-A51C-69D53FF71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P4a!$A$6:$A$30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P4a!$B$6:$B$30</c:f>
              <c:numCache>
                <c:formatCode>0.0000</c:formatCode>
                <c:ptCount val="25"/>
                <c:pt idx="0">
                  <c:v>1.3762000000000001</c:v>
                </c:pt>
                <c:pt idx="1">
                  <c:v>0.97829999999999995</c:v>
                </c:pt>
                <c:pt idx="2">
                  <c:v>0.81259999999999999</c:v>
                </c:pt>
                <c:pt idx="3">
                  <c:v>0.71209999999999996</c:v>
                </c:pt>
                <c:pt idx="4">
                  <c:v>0.63049999999999995</c:v>
                </c:pt>
                <c:pt idx="5">
                  <c:v>0.56669999999999998</c:v>
                </c:pt>
                <c:pt idx="6">
                  <c:v>0.51500000000000001</c:v>
                </c:pt>
                <c:pt idx="7">
                  <c:v>0.46300000000000002</c:v>
                </c:pt>
                <c:pt idx="8">
                  <c:v>0.42559999999999998</c:v>
                </c:pt>
                <c:pt idx="9">
                  <c:v>0.38769999999999999</c:v>
                </c:pt>
                <c:pt idx="10">
                  <c:v>0.3569</c:v>
                </c:pt>
                <c:pt idx="11">
                  <c:v>0.31809999999999999</c:v>
                </c:pt>
                <c:pt idx="12">
                  <c:v>0.29299999999999998</c:v>
                </c:pt>
                <c:pt idx="13">
                  <c:v>0.27110000000000001</c:v>
                </c:pt>
                <c:pt idx="14">
                  <c:v>0.24679999999999999</c:v>
                </c:pt>
                <c:pt idx="15">
                  <c:v>0.23</c:v>
                </c:pt>
                <c:pt idx="16">
                  <c:v>0.21079999999999999</c:v>
                </c:pt>
                <c:pt idx="17">
                  <c:v>0.19339999999999999</c:v>
                </c:pt>
                <c:pt idx="18">
                  <c:v>0.1825</c:v>
                </c:pt>
                <c:pt idx="19">
                  <c:v>0.16889999999999999</c:v>
                </c:pt>
                <c:pt idx="20">
                  <c:v>0.15709999999999999</c:v>
                </c:pt>
                <c:pt idx="21">
                  <c:v>0.1522</c:v>
                </c:pt>
                <c:pt idx="22">
                  <c:v>0.14149999999999999</c:v>
                </c:pt>
                <c:pt idx="23">
                  <c:v>0.1371</c:v>
                </c:pt>
                <c:pt idx="24">
                  <c:v>0.13300000000000001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36-DE4C-AB1A-6E8B697BED9E}"/>
            </c:ext>
          </c:extLst>
        </c:ser>
        <c:ser>
          <c:idx val="1"/>
          <c:order val="1"/>
          <c:tx>
            <c:v>Val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P4a!$A$6:$A$30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P4a!$C$6:$C$30</c:f>
              <c:numCache>
                <c:formatCode>0.0000</c:formatCode>
                <c:ptCount val="25"/>
                <c:pt idx="0">
                  <c:v>1.157</c:v>
                </c:pt>
                <c:pt idx="1">
                  <c:v>0.88339999999999996</c:v>
                </c:pt>
                <c:pt idx="2">
                  <c:v>0.83730000000000004</c:v>
                </c:pt>
                <c:pt idx="3">
                  <c:v>0.66169999999999995</c:v>
                </c:pt>
                <c:pt idx="4">
                  <c:v>0.58850000000000002</c:v>
                </c:pt>
                <c:pt idx="5">
                  <c:v>0.58499999999999996</c:v>
                </c:pt>
                <c:pt idx="6">
                  <c:v>0.58699999999999997</c:v>
                </c:pt>
                <c:pt idx="7">
                  <c:v>0.5625</c:v>
                </c:pt>
                <c:pt idx="8">
                  <c:v>0.54859999999999998</c:v>
                </c:pt>
                <c:pt idx="9">
                  <c:v>0.60309999999999997</c:v>
                </c:pt>
                <c:pt idx="10">
                  <c:v>0.59560000000000002</c:v>
                </c:pt>
                <c:pt idx="11">
                  <c:v>0.53259999999999996</c:v>
                </c:pt>
                <c:pt idx="12">
                  <c:v>0.5917</c:v>
                </c:pt>
                <c:pt idx="13">
                  <c:v>0.55449999999999999</c:v>
                </c:pt>
                <c:pt idx="14">
                  <c:v>0.55289999999999995</c:v>
                </c:pt>
                <c:pt idx="15">
                  <c:v>0.53779999999999994</c:v>
                </c:pt>
                <c:pt idx="16">
                  <c:v>0.58250000000000002</c:v>
                </c:pt>
                <c:pt idx="17">
                  <c:v>0.5998</c:v>
                </c:pt>
                <c:pt idx="18">
                  <c:v>0.63429999999999997</c:v>
                </c:pt>
                <c:pt idx="19">
                  <c:v>0.6179</c:v>
                </c:pt>
                <c:pt idx="20">
                  <c:v>0.64470000000000005</c:v>
                </c:pt>
                <c:pt idx="21">
                  <c:v>0.65139999999999998</c:v>
                </c:pt>
                <c:pt idx="22">
                  <c:v>0.62350000000000005</c:v>
                </c:pt>
                <c:pt idx="23">
                  <c:v>0.62470000000000003</c:v>
                </c:pt>
                <c:pt idx="24">
                  <c:v>0.60840000000000005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36-DE4C-AB1A-6E8B697BE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P4a!$A$6:$A$30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P4a!$D$6:$D$30</c:f>
              <c:numCache>
                <c:formatCode>0.00</c:formatCode>
                <c:ptCount val="25"/>
                <c:pt idx="0">
                  <c:v>50.48</c:v>
                </c:pt>
                <c:pt idx="1">
                  <c:v>66.099999999999994</c:v>
                </c:pt>
                <c:pt idx="2">
                  <c:v>72.150000000000006</c:v>
                </c:pt>
                <c:pt idx="3">
                  <c:v>75.599999999999994</c:v>
                </c:pt>
                <c:pt idx="4">
                  <c:v>78.650000000000006</c:v>
                </c:pt>
                <c:pt idx="5">
                  <c:v>80.59</c:v>
                </c:pt>
                <c:pt idx="6">
                  <c:v>82.71</c:v>
                </c:pt>
                <c:pt idx="7">
                  <c:v>84.23</c:v>
                </c:pt>
                <c:pt idx="8">
                  <c:v>85.37</c:v>
                </c:pt>
                <c:pt idx="9">
                  <c:v>86.87</c:v>
                </c:pt>
                <c:pt idx="10">
                  <c:v>87.84</c:v>
                </c:pt>
                <c:pt idx="11">
                  <c:v>89.1</c:v>
                </c:pt>
                <c:pt idx="12">
                  <c:v>89.95</c:v>
                </c:pt>
                <c:pt idx="13">
                  <c:v>90.81</c:v>
                </c:pt>
                <c:pt idx="14">
                  <c:v>91.51</c:v>
                </c:pt>
                <c:pt idx="15">
                  <c:v>91.97</c:v>
                </c:pt>
                <c:pt idx="16">
                  <c:v>92.77</c:v>
                </c:pt>
                <c:pt idx="17">
                  <c:v>93.3</c:v>
                </c:pt>
                <c:pt idx="18">
                  <c:v>93.88</c:v>
                </c:pt>
                <c:pt idx="19">
                  <c:v>94.29</c:v>
                </c:pt>
                <c:pt idx="20">
                  <c:v>94.58</c:v>
                </c:pt>
                <c:pt idx="21">
                  <c:v>94.72</c:v>
                </c:pt>
                <c:pt idx="22">
                  <c:v>95.02</c:v>
                </c:pt>
                <c:pt idx="23">
                  <c:v>95.29</c:v>
                </c:pt>
                <c:pt idx="24">
                  <c:v>95.4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AD-6D49-B0F3-810992502EC9}"/>
            </c:ext>
          </c:extLst>
        </c:ser>
        <c:ser>
          <c:idx val="1"/>
          <c:order val="1"/>
          <c:tx>
            <c:v>Val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P4a!$A$6:$A$30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P4a!$E$6:$E$30</c:f>
              <c:numCache>
                <c:formatCode>0.00</c:formatCode>
                <c:ptCount val="25"/>
                <c:pt idx="0">
                  <c:v>59.7</c:v>
                </c:pt>
                <c:pt idx="1">
                  <c:v>70.2</c:v>
                </c:pt>
                <c:pt idx="2">
                  <c:v>70.099999999999994</c:v>
                </c:pt>
                <c:pt idx="3">
                  <c:v>77.900000000000006</c:v>
                </c:pt>
                <c:pt idx="4">
                  <c:v>80.3</c:v>
                </c:pt>
                <c:pt idx="5">
                  <c:v>81</c:v>
                </c:pt>
                <c:pt idx="6">
                  <c:v>81.400000000000006</c:v>
                </c:pt>
                <c:pt idx="7">
                  <c:v>81.900000000000006</c:v>
                </c:pt>
                <c:pt idx="8">
                  <c:v>82.6</c:v>
                </c:pt>
                <c:pt idx="9">
                  <c:v>81.3</c:v>
                </c:pt>
                <c:pt idx="10">
                  <c:v>81.599999999999994</c:v>
                </c:pt>
                <c:pt idx="11">
                  <c:v>84.2</c:v>
                </c:pt>
                <c:pt idx="12">
                  <c:v>82</c:v>
                </c:pt>
                <c:pt idx="13">
                  <c:v>83.9</c:v>
                </c:pt>
                <c:pt idx="14">
                  <c:v>84.7</c:v>
                </c:pt>
                <c:pt idx="15">
                  <c:v>83.7</c:v>
                </c:pt>
                <c:pt idx="16">
                  <c:v>84.3</c:v>
                </c:pt>
                <c:pt idx="17">
                  <c:v>83</c:v>
                </c:pt>
                <c:pt idx="18">
                  <c:v>85.3</c:v>
                </c:pt>
                <c:pt idx="19">
                  <c:v>83.2</c:v>
                </c:pt>
                <c:pt idx="20">
                  <c:v>83.5</c:v>
                </c:pt>
                <c:pt idx="21">
                  <c:v>83.9</c:v>
                </c:pt>
                <c:pt idx="22">
                  <c:v>84.5</c:v>
                </c:pt>
                <c:pt idx="23">
                  <c:v>84.2</c:v>
                </c:pt>
                <c:pt idx="24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AD-6D49-B0F3-810992502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P4b!$A$6:$A$30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P4b!$B$6:$B$30</c:f>
              <c:numCache>
                <c:formatCode>0.0000</c:formatCode>
                <c:ptCount val="25"/>
                <c:pt idx="0">
                  <c:v>1.1896</c:v>
                </c:pt>
                <c:pt idx="1">
                  <c:v>0.79420000000000002</c:v>
                </c:pt>
                <c:pt idx="2">
                  <c:v>0.61799999999999999</c:v>
                </c:pt>
                <c:pt idx="3">
                  <c:v>0.49669999999999997</c:v>
                </c:pt>
                <c:pt idx="4">
                  <c:v>0.38979999999999998</c:v>
                </c:pt>
                <c:pt idx="5">
                  <c:v>0.30109999999999998</c:v>
                </c:pt>
                <c:pt idx="6">
                  <c:v>0.2233</c:v>
                </c:pt>
                <c:pt idx="7">
                  <c:v>0.1673</c:v>
                </c:pt>
                <c:pt idx="8">
                  <c:v>0.126</c:v>
                </c:pt>
                <c:pt idx="9">
                  <c:v>0.1018</c:v>
                </c:pt>
                <c:pt idx="10">
                  <c:v>9.3700000000000006E-2</c:v>
                </c:pt>
                <c:pt idx="11">
                  <c:v>7.3099999999999998E-2</c:v>
                </c:pt>
                <c:pt idx="12">
                  <c:v>6.6600000000000006E-2</c:v>
                </c:pt>
                <c:pt idx="13">
                  <c:v>5.2299999999999999E-2</c:v>
                </c:pt>
                <c:pt idx="14">
                  <c:v>4.8599999999999997E-2</c:v>
                </c:pt>
                <c:pt idx="15">
                  <c:v>5.5100000000000003E-2</c:v>
                </c:pt>
                <c:pt idx="16">
                  <c:v>5.0999999999999997E-2</c:v>
                </c:pt>
                <c:pt idx="17">
                  <c:v>3.9100000000000003E-2</c:v>
                </c:pt>
                <c:pt idx="18">
                  <c:v>4.1300000000000003E-2</c:v>
                </c:pt>
                <c:pt idx="19">
                  <c:v>4.0500000000000001E-2</c:v>
                </c:pt>
                <c:pt idx="20">
                  <c:v>4.2000000000000003E-2</c:v>
                </c:pt>
                <c:pt idx="21">
                  <c:v>2.6200000000000001E-2</c:v>
                </c:pt>
                <c:pt idx="22">
                  <c:v>3.8800000000000001E-2</c:v>
                </c:pt>
                <c:pt idx="23">
                  <c:v>3.2599999999999997E-2</c:v>
                </c:pt>
                <c:pt idx="24">
                  <c:v>2.9700000000000001E-2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50-B34B-90D2-9E5FF8908EA4}"/>
            </c:ext>
          </c:extLst>
        </c:ser>
        <c:ser>
          <c:idx val="1"/>
          <c:order val="1"/>
          <c:tx>
            <c:v>Val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P4b!$A$6:$A$30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P4b!$C$6:$C$30</c:f>
              <c:numCache>
                <c:formatCode>0.0000</c:formatCode>
                <c:ptCount val="25"/>
                <c:pt idx="0">
                  <c:v>1.0519000000000001</c:v>
                </c:pt>
                <c:pt idx="1">
                  <c:v>0.8266</c:v>
                </c:pt>
                <c:pt idx="2">
                  <c:v>0.63170000000000004</c:v>
                </c:pt>
                <c:pt idx="3">
                  <c:v>0.65620000000000001</c:v>
                </c:pt>
                <c:pt idx="4">
                  <c:v>0.61860000000000004</c:v>
                </c:pt>
                <c:pt idx="5">
                  <c:v>0.64</c:v>
                </c:pt>
                <c:pt idx="6">
                  <c:v>0.73460000000000003</c:v>
                </c:pt>
                <c:pt idx="7">
                  <c:v>0.72399999999999998</c:v>
                </c:pt>
                <c:pt idx="8">
                  <c:v>0.73799999999999999</c:v>
                </c:pt>
                <c:pt idx="9">
                  <c:v>0.88190000000000002</c:v>
                </c:pt>
                <c:pt idx="10">
                  <c:v>0.90920000000000001</c:v>
                </c:pt>
                <c:pt idx="11">
                  <c:v>0.97599999999999998</c:v>
                </c:pt>
                <c:pt idx="12">
                  <c:v>0.88929999999999998</c:v>
                </c:pt>
                <c:pt idx="13">
                  <c:v>0.86550000000000005</c:v>
                </c:pt>
                <c:pt idx="14">
                  <c:v>0.91169999999999995</c:v>
                </c:pt>
                <c:pt idx="15">
                  <c:v>0.93759999999999999</c:v>
                </c:pt>
                <c:pt idx="16">
                  <c:v>0.91200000000000003</c:v>
                </c:pt>
                <c:pt idx="17">
                  <c:v>1.0484</c:v>
                </c:pt>
                <c:pt idx="18">
                  <c:v>0.98350000000000004</c:v>
                </c:pt>
                <c:pt idx="19">
                  <c:v>0.92710000000000004</c:v>
                </c:pt>
                <c:pt idx="20">
                  <c:v>0.96099999999999997</c:v>
                </c:pt>
                <c:pt idx="21">
                  <c:v>0.94689999999999996</c:v>
                </c:pt>
                <c:pt idx="22">
                  <c:v>0.99360000000000004</c:v>
                </c:pt>
                <c:pt idx="23">
                  <c:v>0.94179999999999997</c:v>
                </c:pt>
                <c:pt idx="24">
                  <c:v>1.0390999999999999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50-B34B-90D2-9E5FF8908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P4b!$A$6:$A$30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P4b!$D$6:$D$30</c:f>
              <c:numCache>
                <c:formatCode>0.00</c:formatCode>
                <c:ptCount val="25"/>
                <c:pt idx="0">
                  <c:v>57.16</c:v>
                </c:pt>
                <c:pt idx="1">
                  <c:v>72.040000000000006</c:v>
                </c:pt>
                <c:pt idx="2">
                  <c:v>78.38</c:v>
                </c:pt>
                <c:pt idx="3">
                  <c:v>82.52</c:v>
                </c:pt>
                <c:pt idx="4">
                  <c:v>86.44</c:v>
                </c:pt>
                <c:pt idx="5">
                  <c:v>89.48</c:v>
                </c:pt>
                <c:pt idx="6">
                  <c:v>92.15</c:v>
                </c:pt>
                <c:pt idx="7">
                  <c:v>94.34</c:v>
                </c:pt>
                <c:pt idx="8">
                  <c:v>95.66</c:v>
                </c:pt>
                <c:pt idx="9">
                  <c:v>96.47</c:v>
                </c:pt>
                <c:pt idx="10">
                  <c:v>96.76</c:v>
                </c:pt>
                <c:pt idx="11">
                  <c:v>97.46</c:v>
                </c:pt>
                <c:pt idx="12">
                  <c:v>97.67</c:v>
                </c:pt>
                <c:pt idx="13">
                  <c:v>98.2</c:v>
                </c:pt>
                <c:pt idx="14">
                  <c:v>98.35</c:v>
                </c:pt>
                <c:pt idx="15">
                  <c:v>98.07</c:v>
                </c:pt>
                <c:pt idx="16">
                  <c:v>98.22</c:v>
                </c:pt>
                <c:pt idx="17">
                  <c:v>98.62</c:v>
                </c:pt>
                <c:pt idx="18">
                  <c:v>98.62</c:v>
                </c:pt>
                <c:pt idx="19">
                  <c:v>98.61</c:v>
                </c:pt>
                <c:pt idx="20">
                  <c:v>98.52</c:v>
                </c:pt>
                <c:pt idx="21">
                  <c:v>99.12</c:v>
                </c:pt>
                <c:pt idx="22">
                  <c:v>98.64</c:v>
                </c:pt>
                <c:pt idx="23">
                  <c:v>98.86</c:v>
                </c:pt>
                <c:pt idx="24">
                  <c:v>98.98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B0-3644-9F38-C449124C7D26}"/>
            </c:ext>
          </c:extLst>
        </c:ser>
        <c:ser>
          <c:idx val="1"/>
          <c:order val="1"/>
          <c:tx>
            <c:v>Val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P4b!$A$6:$A$30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P4b!$E$6:$E$30</c:f>
              <c:numCache>
                <c:formatCode>0.00</c:formatCode>
                <c:ptCount val="25"/>
                <c:pt idx="0">
                  <c:v>62.3</c:v>
                </c:pt>
                <c:pt idx="1">
                  <c:v>70.7</c:v>
                </c:pt>
                <c:pt idx="2">
                  <c:v>76.7</c:v>
                </c:pt>
                <c:pt idx="3">
                  <c:v>78</c:v>
                </c:pt>
                <c:pt idx="4">
                  <c:v>79.900000000000006</c:v>
                </c:pt>
                <c:pt idx="5">
                  <c:v>80.3</c:v>
                </c:pt>
                <c:pt idx="6">
                  <c:v>79.099999999999994</c:v>
                </c:pt>
                <c:pt idx="7">
                  <c:v>79</c:v>
                </c:pt>
                <c:pt idx="8">
                  <c:v>80</c:v>
                </c:pt>
                <c:pt idx="9">
                  <c:v>78.7</c:v>
                </c:pt>
                <c:pt idx="10">
                  <c:v>78.599999999999994</c:v>
                </c:pt>
                <c:pt idx="11">
                  <c:v>78.900000000000006</c:v>
                </c:pt>
                <c:pt idx="12">
                  <c:v>80</c:v>
                </c:pt>
                <c:pt idx="13">
                  <c:v>80.900000000000006</c:v>
                </c:pt>
                <c:pt idx="14">
                  <c:v>80.599999999999994</c:v>
                </c:pt>
                <c:pt idx="15">
                  <c:v>81.3</c:v>
                </c:pt>
                <c:pt idx="16">
                  <c:v>80.599999999999994</c:v>
                </c:pt>
                <c:pt idx="17">
                  <c:v>79.7</c:v>
                </c:pt>
                <c:pt idx="18">
                  <c:v>80.8</c:v>
                </c:pt>
                <c:pt idx="19">
                  <c:v>81.599999999999994</c:v>
                </c:pt>
                <c:pt idx="20">
                  <c:v>81.7</c:v>
                </c:pt>
                <c:pt idx="21">
                  <c:v>80.8</c:v>
                </c:pt>
                <c:pt idx="22">
                  <c:v>82.9</c:v>
                </c:pt>
                <c:pt idx="23">
                  <c:v>82.2</c:v>
                </c:pt>
                <c:pt idx="24">
                  <c:v>80.900000000000006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B0-3644-9F38-C449124C7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P4c!$A$6:$A$30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P4c!$B$6:$B$30</c:f>
              <c:numCache>
                <c:formatCode>0.0000</c:formatCode>
                <c:ptCount val="25"/>
                <c:pt idx="0">
                  <c:v>1.3491</c:v>
                </c:pt>
                <c:pt idx="1">
                  <c:v>0.94259999999999999</c:v>
                </c:pt>
                <c:pt idx="2">
                  <c:v>0.79039999999999999</c:v>
                </c:pt>
                <c:pt idx="3">
                  <c:v>0.68710000000000004</c:v>
                </c:pt>
                <c:pt idx="4">
                  <c:v>0.62470000000000003</c:v>
                </c:pt>
                <c:pt idx="5">
                  <c:v>0.57879999999999998</c:v>
                </c:pt>
                <c:pt idx="6">
                  <c:v>0.54059999999999997</c:v>
                </c:pt>
                <c:pt idx="7">
                  <c:v>0.50480000000000003</c:v>
                </c:pt>
                <c:pt idx="8">
                  <c:v>0.4738</c:v>
                </c:pt>
                <c:pt idx="9">
                  <c:v>0.4506</c:v>
                </c:pt>
                <c:pt idx="10">
                  <c:v>0.43409999999999999</c:v>
                </c:pt>
                <c:pt idx="11">
                  <c:v>0.40920000000000001</c:v>
                </c:pt>
                <c:pt idx="12">
                  <c:v>0.38900000000000001</c:v>
                </c:pt>
                <c:pt idx="13">
                  <c:v>0.36940000000000001</c:v>
                </c:pt>
                <c:pt idx="14">
                  <c:v>0.35959999999999998</c:v>
                </c:pt>
                <c:pt idx="15">
                  <c:v>0.33829999999999999</c:v>
                </c:pt>
                <c:pt idx="16">
                  <c:v>0.32529999999999998</c:v>
                </c:pt>
                <c:pt idx="17">
                  <c:v>0.31230000000000002</c:v>
                </c:pt>
                <c:pt idx="18">
                  <c:v>0.29670000000000002</c:v>
                </c:pt>
                <c:pt idx="19">
                  <c:v>0.28560000000000002</c:v>
                </c:pt>
                <c:pt idx="20">
                  <c:v>0.28129999999999999</c:v>
                </c:pt>
                <c:pt idx="21">
                  <c:v>0.26419999999999999</c:v>
                </c:pt>
                <c:pt idx="22">
                  <c:v>0.25890000000000002</c:v>
                </c:pt>
                <c:pt idx="23">
                  <c:v>0.248</c:v>
                </c:pt>
                <c:pt idx="24">
                  <c:v>0.23530000000000001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FA-C74A-99DE-BFFBB57A26F6}"/>
            </c:ext>
          </c:extLst>
        </c:ser>
        <c:ser>
          <c:idx val="1"/>
          <c:order val="1"/>
          <c:tx>
            <c:v>Val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P4c!$A$6:$A$30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P4c!$C$6:$C$30</c:f>
              <c:numCache>
                <c:formatCode>0.0000</c:formatCode>
                <c:ptCount val="25"/>
                <c:pt idx="0">
                  <c:v>1.1049</c:v>
                </c:pt>
                <c:pt idx="1">
                  <c:v>1.2051000000000001</c:v>
                </c:pt>
                <c:pt idx="2">
                  <c:v>0.80369999999999997</c:v>
                </c:pt>
                <c:pt idx="3">
                  <c:v>0.64639999999999997</c:v>
                </c:pt>
                <c:pt idx="4">
                  <c:v>0.61009999999999998</c:v>
                </c:pt>
                <c:pt idx="5">
                  <c:v>0.57869999999999999</c:v>
                </c:pt>
                <c:pt idx="6">
                  <c:v>0.51890000000000003</c:v>
                </c:pt>
                <c:pt idx="7">
                  <c:v>0.54239999999999999</c:v>
                </c:pt>
                <c:pt idx="8">
                  <c:v>0.56640000000000001</c:v>
                </c:pt>
                <c:pt idx="9">
                  <c:v>0.50970000000000004</c:v>
                </c:pt>
                <c:pt idx="10">
                  <c:v>0.45519999999999999</c:v>
                </c:pt>
                <c:pt idx="11">
                  <c:v>0.45679999999999998</c:v>
                </c:pt>
                <c:pt idx="12">
                  <c:v>0.45390000000000003</c:v>
                </c:pt>
                <c:pt idx="13">
                  <c:v>0.46229999999999999</c:v>
                </c:pt>
                <c:pt idx="14">
                  <c:v>0.41060000000000002</c:v>
                </c:pt>
                <c:pt idx="15">
                  <c:v>0.37869999999999998</c:v>
                </c:pt>
                <c:pt idx="16">
                  <c:v>0.42599999999999999</c:v>
                </c:pt>
                <c:pt idx="17">
                  <c:v>0.38469999999999999</c:v>
                </c:pt>
                <c:pt idx="18">
                  <c:v>0.38990000000000002</c:v>
                </c:pt>
                <c:pt idx="19">
                  <c:v>0.39300000000000002</c:v>
                </c:pt>
                <c:pt idx="20">
                  <c:v>0.3614</c:v>
                </c:pt>
                <c:pt idx="21">
                  <c:v>0.39889999999999998</c:v>
                </c:pt>
                <c:pt idx="22">
                  <c:v>0.3765</c:v>
                </c:pt>
                <c:pt idx="23">
                  <c:v>0.36680000000000001</c:v>
                </c:pt>
                <c:pt idx="24">
                  <c:v>0.39560000000000001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FA-C74A-99DE-BFFBB57A2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P4c!$A$6:$A$30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P4c!$D$6:$D$30</c:f>
              <c:numCache>
                <c:formatCode>0.00</c:formatCode>
                <c:ptCount val="25"/>
                <c:pt idx="0">
                  <c:v>51.01</c:v>
                </c:pt>
                <c:pt idx="1">
                  <c:v>66.510000000000005</c:v>
                </c:pt>
                <c:pt idx="2">
                  <c:v>72.03</c:v>
                </c:pt>
                <c:pt idx="3">
                  <c:v>76.03</c:v>
                </c:pt>
                <c:pt idx="4">
                  <c:v>78.22</c:v>
                </c:pt>
                <c:pt idx="5">
                  <c:v>79.81</c:v>
                </c:pt>
                <c:pt idx="6">
                  <c:v>81.260000000000005</c:v>
                </c:pt>
                <c:pt idx="7">
                  <c:v>82.6</c:v>
                </c:pt>
                <c:pt idx="8">
                  <c:v>83.67</c:v>
                </c:pt>
                <c:pt idx="9">
                  <c:v>84.31</c:v>
                </c:pt>
                <c:pt idx="10">
                  <c:v>84.93</c:v>
                </c:pt>
                <c:pt idx="11">
                  <c:v>85.61</c:v>
                </c:pt>
                <c:pt idx="12">
                  <c:v>86.36</c:v>
                </c:pt>
                <c:pt idx="13">
                  <c:v>87.02</c:v>
                </c:pt>
                <c:pt idx="14">
                  <c:v>87.33</c:v>
                </c:pt>
                <c:pt idx="15">
                  <c:v>88.29</c:v>
                </c:pt>
                <c:pt idx="16">
                  <c:v>88.67</c:v>
                </c:pt>
                <c:pt idx="17">
                  <c:v>89.01</c:v>
                </c:pt>
                <c:pt idx="18">
                  <c:v>89.54</c:v>
                </c:pt>
                <c:pt idx="19">
                  <c:v>90.01</c:v>
                </c:pt>
                <c:pt idx="20">
                  <c:v>90.16</c:v>
                </c:pt>
                <c:pt idx="21">
                  <c:v>90.57</c:v>
                </c:pt>
                <c:pt idx="22">
                  <c:v>90.89</c:v>
                </c:pt>
                <c:pt idx="23">
                  <c:v>91.27</c:v>
                </c:pt>
                <c:pt idx="24">
                  <c:v>91.73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9E-F044-A3D6-BB41CFFD5E3B}"/>
            </c:ext>
          </c:extLst>
        </c:ser>
        <c:ser>
          <c:idx val="1"/>
          <c:order val="1"/>
          <c:tx>
            <c:v>Val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P4c!$A$6:$A$30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P4c!$E$6:$E$30</c:f>
              <c:numCache>
                <c:formatCode>0.00</c:formatCode>
                <c:ptCount val="25"/>
                <c:pt idx="0">
                  <c:v>59.4</c:v>
                </c:pt>
                <c:pt idx="1">
                  <c:v>60.5</c:v>
                </c:pt>
                <c:pt idx="2">
                  <c:v>73.2</c:v>
                </c:pt>
                <c:pt idx="3">
                  <c:v>78.5</c:v>
                </c:pt>
                <c:pt idx="4">
                  <c:v>81.2</c:v>
                </c:pt>
                <c:pt idx="5">
                  <c:v>81.599999999999994</c:v>
                </c:pt>
                <c:pt idx="6">
                  <c:v>82.5</c:v>
                </c:pt>
                <c:pt idx="7">
                  <c:v>82.4</c:v>
                </c:pt>
                <c:pt idx="8">
                  <c:v>80.900000000000006</c:v>
                </c:pt>
                <c:pt idx="9">
                  <c:v>83.1</c:v>
                </c:pt>
                <c:pt idx="10">
                  <c:v>84.9</c:v>
                </c:pt>
                <c:pt idx="11">
                  <c:v>84.5</c:v>
                </c:pt>
                <c:pt idx="12">
                  <c:v>86</c:v>
                </c:pt>
                <c:pt idx="13">
                  <c:v>84.1</c:v>
                </c:pt>
                <c:pt idx="14">
                  <c:v>87.1</c:v>
                </c:pt>
                <c:pt idx="15">
                  <c:v>87.5</c:v>
                </c:pt>
                <c:pt idx="16">
                  <c:v>85.3</c:v>
                </c:pt>
                <c:pt idx="17">
                  <c:v>86.7</c:v>
                </c:pt>
                <c:pt idx="18">
                  <c:v>87.4</c:v>
                </c:pt>
                <c:pt idx="19">
                  <c:v>87.3</c:v>
                </c:pt>
                <c:pt idx="20">
                  <c:v>88.3</c:v>
                </c:pt>
                <c:pt idx="21">
                  <c:v>86.6</c:v>
                </c:pt>
                <c:pt idx="22">
                  <c:v>88</c:v>
                </c:pt>
                <c:pt idx="23">
                  <c:v>87.8</c:v>
                </c:pt>
                <c:pt idx="24">
                  <c:v>88.4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9E-F044-A3D6-BB41CFFD5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'P5'!$A$6:$A$55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'P5'!$B$6:$B$55</c:f>
              <c:numCache>
                <c:formatCode>0.0000</c:formatCode>
                <c:ptCount val="50"/>
                <c:pt idx="0">
                  <c:v>1.5426</c:v>
                </c:pt>
                <c:pt idx="1">
                  <c:v>1.1676</c:v>
                </c:pt>
                <c:pt idx="2">
                  <c:v>0.99039999999999995</c:v>
                </c:pt>
                <c:pt idx="3">
                  <c:v>0.88449999999999995</c:v>
                </c:pt>
                <c:pt idx="4">
                  <c:v>0.81359999999999999</c:v>
                </c:pt>
                <c:pt idx="5">
                  <c:v>0.75090000000000001</c:v>
                </c:pt>
                <c:pt idx="6">
                  <c:v>0.7137</c:v>
                </c:pt>
                <c:pt idx="7">
                  <c:v>0.68179999999999996</c:v>
                </c:pt>
                <c:pt idx="8">
                  <c:v>0.63880000000000003</c:v>
                </c:pt>
                <c:pt idx="9">
                  <c:v>0.62119999999999997</c:v>
                </c:pt>
                <c:pt idx="10">
                  <c:v>0.59709999999999996</c:v>
                </c:pt>
                <c:pt idx="11">
                  <c:v>0.57630000000000003</c:v>
                </c:pt>
                <c:pt idx="12">
                  <c:v>0.55649999999999999</c:v>
                </c:pt>
                <c:pt idx="13">
                  <c:v>0.53810000000000002</c:v>
                </c:pt>
                <c:pt idx="14">
                  <c:v>0.5242</c:v>
                </c:pt>
                <c:pt idx="15">
                  <c:v>0.50900000000000001</c:v>
                </c:pt>
                <c:pt idx="16">
                  <c:v>0.49569999999999997</c:v>
                </c:pt>
                <c:pt idx="17">
                  <c:v>0.48089999999999999</c:v>
                </c:pt>
                <c:pt idx="18">
                  <c:v>0.47070000000000001</c:v>
                </c:pt>
                <c:pt idx="19">
                  <c:v>0.45219999999999999</c:v>
                </c:pt>
                <c:pt idx="20">
                  <c:v>0.4451</c:v>
                </c:pt>
                <c:pt idx="21">
                  <c:v>0.43469999999999998</c:v>
                </c:pt>
                <c:pt idx="22">
                  <c:v>0.42680000000000001</c:v>
                </c:pt>
                <c:pt idx="23">
                  <c:v>0.41270000000000001</c:v>
                </c:pt>
                <c:pt idx="24">
                  <c:v>0.40789999999999998</c:v>
                </c:pt>
                <c:pt idx="25">
                  <c:v>0.40350000000000003</c:v>
                </c:pt>
                <c:pt idx="26">
                  <c:v>0.3926</c:v>
                </c:pt>
                <c:pt idx="27">
                  <c:v>0.39219999999999999</c:v>
                </c:pt>
                <c:pt idx="28">
                  <c:v>0.3765</c:v>
                </c:pt>
                <c:pt idx="29">
                  <c:v>0.37619999999999998</c:v>
                </c:pt>
                <c:pt idx="30">
                  <c:v>0.3634</c:v>
                </c:pt>
                <c:pt idx="31">
                  <c:v>0.36159999999999998</c:v>
                </c:pt>
                <c:pt idx="32">
                  <c:v>0.35249999999999998</c:v>
                </c:pt>
                <c:pt idx="33">
                  <c:v>0.34710000000000002</c:v>
                </c:pt>
                <c:pt idx="34">
                  <c:v>0.33860000000000001</c:v>
                </c:pt>
                <c:pt idx="35">
                  <c:v>0.33789999999999998</c:v>
                </c:pt>
                <c:pt idx="36">
                  <c:v>0.33</c:v>
                </c:pt>
                <c:pt idx="37">
                  <c:v>0.32829999999999998</c:v>
                </c:pt>
                <c:pt idx="38">
                  <c:v>0.3216</c:v>
                </c:pt>
                <c:pt idx="39">
                  <c:v>0.31879999999999997</c:v>
                </c:pt>
                <c:pt idx="40">
                  <c:v>0.3125</c:v>
                </c:pt>
                <c:pt idx="41">
                  <c:v>0.30499999999999999</c:v>
                </c:pt>
                <c:pt idx="42">
                  <c:v>0.30320000000000003</c:v>
                </c:pt>
                <c:pt idx="43">
                  <c:v>0.29609999999999997</c:v>
                </c:pt>
                <c:pt idx="44">
                  <c:v>0.30009999999999998</c:v>
                </c:pt>
                <c:pt idx="45">
                  <c:v>0.2878</c:v>
                </c:pt>
                <c:pt idx="46">
                  <c:v>0.29189999999999999</c:v>
                </c:pt>
                <c:pt idx="47">
                  <c:v>0.28220000000000001</c:v>
                </c:pt>
                <c:pt idx="48">
                  <c:v>0.2838</c:v>
                </c:pt>
                <c:pt idx="49">
                  <c:v>0.2787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38-394B-9145-9438585FE5A8}"/>
            </c:ext>
          </c:extLst>
        </c:ser>
        <c:ser>
          <c:idx val="1"/>
          <c:order val="1"/>
          <c:tx>
            <c:v>Val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'P5'!$A$6:$A$55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'P5'!$C$6:$C$55</c:f>
              <c:numCache>
                <c:formatCode>0.0000</c:formatCode>
                <c:ptCount val="50"/>
                <c:pt idx="0">
                  <c:v>1.306</c:v>
                </c:pt>
                <c:pt idx="1">
                  <c:v>0.99280000000000002</c:v>
                </c:pt>
                <c:pt idx="2">
                  <c:v>0.78290000000000004</c:v>
                </c:pt>
                <c:pt idx="3">
                  <c:v>0.7006</c:v>
                </c:pt>
                <c:pt idx="4">
                  <c:v>0.67510000000000003</c:v>
                </c:pt>
                <c:pt idx="5">
                  <c:v>0.59919999999999995</c:v>
                </c:pt>
                <c:pt idx="6">
                  <c:v>0.63019999999999998</c:v>
                </c:pt>
                <c:pt idx="7">
                  <c:v>0.53449999999999998</c:v>
                </c:pt>
                <c:pt idx="8">
                  <c:v>0.52690000000000003</c:v>
                </c:pt>
                <c:pt idx="9">
                  <c:v>0.52049999999999996</c:v>
                </c:pt>
                <c:pt idx="10">
                  <c:v>0.53359999999999996</c:v>
                </c:pt>
                <c:pt idx="11">
                  <c:v>0.47420000000000001</c:v>
                </c:pt>
                <c:pt idx="12">
                  <c:v>0.45169999999999999</c:v>
                </c:pt>
                <c:pt idx="13">
                  <c:v>0.48830000000000001</c:v>
                </c:pt>
                <c:pt idx="14">
                  <c:v>0.4446</c:v>
                </c:pt>
                <c:pt idx="15">
                  <c:v>0.41870000000000002</c:v>
                </c:pt>
                <c:pt idx="16">
                  <c:v>0.41720000000000002</c:v>
                </c:pt>
                <c:pt idx="17">
                  <c:v>0.4325</c:v>
                </c:pt>
                <c:pt idx="18">
                  <c:v>0.39179999999999998</c:v>
                </c:pt>
                <c:pt idx="19">
                  <c:v>0.39460000000000001</c:v>
                </c:pt>
                <c:pt idx="20">
                  <c:v>0.42709999999999998</c:v>
                </c:pt>
                <c:pt idx="21">
                  <c:v>0.37809999999999999</c:v>
                </c:pt>
                <c:pt idx="22">
                  <c:v>0.39150000000000001</c:v>
                </c:pt>
                <c:pt idx="23">
                  <c:v>0.39169999999999999</c:v>
                </c:pt>
                <c:pt idx="24">
                  <c:v>0.39269999999999999</c:v>
                </c:pt>
                <c:pt idx="25">
                  <c:v>0.38350000000000001</c:v>
                </c:pt>
                <c:pt idx="26">
                  <c:v>0.36399999999999999</c:v>
                </c:pt>
                <c:pt idx="27">
                  <c:v>0.38819999999999999</c:v>
                </c:pt>
                <c:pt idx="28">
                  <c:v>0.39029999999999998</c:v>
                </c:pt>
                <c:pt idx="29">
                  <c:v>0.3548</c:v>
                </c:pt>
                <c:pt idx="30">
                  <c:v>0.35210000000000002</c:v>
                </c:pt>
                <c:pt idx="31">
                  <c:v>0.36459999999999998</c:v>
                </c:pt>
                <c:pt idx="32">
                  <c:v>0.37669999999999998</c:v>
                </c:pt>
                <c:pt idx="33">
                  <c:v>0.36580000000000001</c:v>
                </c:pt>
                <c:pt idx="34">
                  <c:v>0.37630000000000002</c:v>
                </c:pt>
                <c:pt idx="35">
                  <c:v>0.36309999999999998</c:v>
                </c:pt>
                <c:pt idx="36">
                  <c:v>0.33560000000000001</c:v>
                </c:pt>
                <c:pt idx="37">
                  <c:v>0.38290000000000002</c:v>
                </c:pt>
                <c:pt idx="38">
                  <c:v>0.40689999999999998</c:v>
                </c:pt>
                <c:pt idx="39">
                  <c:v>0.35749999999999998</c:v>
                </c:pt>
                <c:pt idx="40">
                  <c:v>0.35389999999999999</c:v>
                </c:pt>
                <c:pt idx="41">
                  <c:v>0.34699999999999998</c:v>
                </c:pt>
                <c:pt idx="42">
                  <c:v>0.36109999999999998</c:v>
                </c:pt>
                <c:pt idx="43">
                  <c:v>0.33629999999999999</c:v>
                </c:pt>
                <c:pt idx="44">
                  <c:v>0.34399999999999997</c:v>
                </c:pt>
                <c:pt idx="45">
                  <c:v>0.3584</c:v>
                </c:pt>
                <c:pt idx="46">
                  <c:v>0.37069999999999997</c:v>
                </c:pt>
                <c:pt idx="47">
                  <c:v>0.34799999999999998</c:v>
                </c:pt>
                <c:pt idx="48">
                  <c:v>0.34329999999999999</c:v>
                </c:pt>
                <c:pt idx="49">
                  <c:v>0.32800000000000001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38-394B-9145-9438585FE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'P5'!$A$6:$A$55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'P5'!$D$6:$D$55</c:f>
              <c:numCache>
                <c:formatCode>0.00</c:formatCode>
                <c:ptCount val="50"/>
                <c:pt idx="0">
                  <c:v>43.57</c:v>
                </c:pt>
                <c:pt idx="1">
                  <c:v>58.6</c:v>
                </c:pt>
                <c:pt idx="2">
                  <c:v>65.55</c:v>
                </c:pt>
                <c:pt idx="3">
                  <c:v>69.650000000000006</c:v>
                </c:pt>
                <c:pt idx="4">
                  <c:v>72.28</c:v>
                </c:pt>
                <c:pt idx="5">
                  <c:v>74.38</c:v>
                </c:pt>
                <c:pt idx="6">
                  <c:v>75.790000000000006</c:v>
                </c:pt>
                <c:pt idx="7">
                  <c:v>76.84</c:v>
                </c:pt>
                <c:pt idx="8">
                  <c:v>78.27</c:v>
                </c:pt>
                <c:pt idx="9">
                  <c:v>78.709999999999994</c:v>
                </c:pt>
                <c:pt idx="10">
                  <c:v>79.680000000000007</c:v>
                </c:pt>
                <c:pt idx="11">
                  <c:v>80.55</c:v>
                </c:pt>
                <c:pt idx="12">
                  <c:v>81.13</c:v>
                </c:pt>
                <c:pt idx="13">
                  <c:v>81.62</c:v>
                </c:pt>
                <c:pt idx="14">
                  <c:v>82.17</c:v>
                </c:pt>
                <c:pt idx="15">
                  <c:v>82.89</c:v>
                </c:pt>
                <c:pt idx="16">
                  <c:v>83.24</c:v>
                </c:pt>
                <c:pt idx="17">
                  <c:v>83.77</c:v>
                </c:pt>
                <c:pt idx="18">
                  <c:v>84.13</c:v>
                </c:pt>
                <c:pt idx="19">
                  <c:v>84.75</c:v>
                </c:pt>
                <c:pt idx="20">
                  <c:v>84.9</c:v>
                </c:pt>
                <c:pt idx="21">
                  <c:v>85.13</c:v>
                </c:pt>
                <c:pt idx="22">
                  <c:v>85.47</c:v>
                </c:pt>
                <c:pt idx="23">
                  <c:v>85.83</c:v>
                </c:pt>
                <c:pt idx="24">
                  <c:v>86.19</c:v>
                </c:pt>
                <c:pt idx="25">
                  <c:v>86.45</c:v>
                </c:pt>
                <c:pt idx="26">
                  <c:v>86.73</c:v>
                </c:pt>
                <c:pt idx="27">
                  <c:v>86.65</c:v>
                </c:pt>
                <c:pt idx="28">
                  <c:v>87.15</c:v>
                </c:pt>
                <c:pt idx="29">
                  <c:v>87.13</c:v>
                </c:pt>
                <c:pt idx="30">
                  <c:v>87.59</c:v>
                </c:pt>
                <c:pt idx="31">
                  <c:v>87.62</c:v>
                </c:pt>
                <c:pt idx="32">
                  <c:v>88.03</c:v>
                </c:pt>
                <c:pt idx="33">
                  <c:v>88.16</c:v>
                </c:pt>
                <c:pt idx="34">
                  <c:v>88.46</c:v>
                </c:pt>
                <c:pt idx="35">
                  <c:v>88.51</c:v>
                </c:pt>
                <c:pt idx="36">
                  <c:v>88.79</c:v>
                </c:pt>
                <c:pt idx="37">
                  <c:v>88.74</c:v>
                </c:pt>
                <c:pt idx="38">
                  <c:v>88.97</c:v>
                </c:pt>
                <c:pt idx="39">
                  <c:v>89.16</c:v>
                </c:pt>
                <c:pt idx="40">
                  <c:v>89.24</c:v>
                </c:pt>
                <c:pt idx="41">
                  <c:v>89.68</c:v>
                </c:pt>
                <c:pt idx="42">
                  <c:v>89.67</c:v>
                </c:pt>
                <c:pt idx="43">
                  <c:v>89.85</c:v>
                </c:pt>
                <c:pt idx="44">
                  <c:v>89.68</c:v>
                </c:pt>
                <c:pt idx="45">
                  <c:v>90.2</c:v>
                </c:pt>
                <c:pt idx="46">
                  <c:v>90.15</c:v>
                </c:pt>
                <c:pt idx="47">
                  <c:v>90.32</c:v>
                </c:pt>
                <c:pt idx="48">
                  <c:v>90.3</c:v>
                </c:pt>
                <c:pt idx="49">
                  <c:v>90.43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18-3F47-AEF9-D32F303D8D1D}"/>
            </c:ext>
          </c:extLst>
        </c:ser>
        <c:ser>
          <c:idx val="1"/>
          <c:order val="1"/>
          <c:tx>
            <c:v>Val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'P5'!$A$6:$A$55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'P5'!$E$6:$E$55</c:f>
              <c:numCache>
                <c:formatCode>0.00</c:formatCode>
                <c:ptCount val="50"/>
                <c:pt idx="0">
                  <c:v>55.8</c:v>
                </c:pt>
                <c:pt idx="1">
                  <c:v>64.5</c:v>
                </c:pt>
                <c:pt idx="2">
                  <c:v>73.2</c:v>
                </c:pt>
                <c:pt idx="3">
                  <c:v>74.8</c:v>
                </c:pt>
                <c:pt idx="4">
                  <c:v>76.8</c:v>
                </c:pt>
                <c:pt idx="5">
                  <c:v>79</c:v>
                </c:pt>
                <c:pt idx="6">
                  <c:v>79.599999999999994</c:v>
                </c:pt>
                <c:pt idx="7">
                  <c:v>81.2</c:v>
                </c:pt>
                <c:pt idx="8">
                  <c:v>81.099999999999994</c:v>
                </c:pt>
                <c:pt idx="9">
                  <c:v>82.2</c:v>
                </c:pt>
                <c:pt idx="10">
                  <c:v>82.2</c:v>
                </c:pt>
                <c:pt idx="11">
                  <c:v>83.5</c:v>
                </c:pt>
                <c:pt idx="12">
                  <c:v>85.3</c:v>
                </c:pt>
                <c:pt idx="13">
                  <c:v>84.1</c:v>
                </c:pt>
                <c:pt idx="14">
                  <c:v>85</c:v>
                </c:pt>
                <c:pt idx="15">
                  <c:v>84.9</c:v>
                </c:pt>
                <c:pt idx="16">
                  <c:v>85.8</c:v>
                </c:pt>
                <c:pt idx="17">
                  <c:v>85.1</c:v>
                </c:pt>
                <c:pt idx="18">
                  <c:v>86.6</c:v>
                </c:pt>
                <c:pt idx="19">
                  <c:v>86.6</c:v>
                </c:pt>
                <c:pt idx="20">
                  <c:v>85.3</c:v>
                </c:pt>
                <c:pt idx="21">
                  <c:v>86.8</c:v>
                </c:pt>
                <c:pt idx="22">
                  <c:v>85.3</c:v>
                </c:pt>
                <c:pt idx="23">
                  <c:v>86.6</c:v>
                </c:pt>
                <c:pt idx="24">
                  <c:v>85.9</c:v>
                </c:pt>
                <c:pt idx="25">
                  <c:v>86.5</c:v>
                </c:pt>
                <c:pt idx="26">
                  <c:v>86.5</c:v>
                </c:pt>
                <c:pt idx="27">
                  <c:v>87.8</c:v>
                </c:pt>
                <c:pt idx="28">
                  <c:v>86.7</c:v>
                </c:pt>
                <c:pt idx="29">
                  <c:v>88</c:v>
                </c:pt>
                <c:pt idx="30">
                  <c:v>87.5</c:v>
                </c:pt>
                <c:pt idx="31">
                  <c:v>87.4</c:v>
                </c:pt>
                <c:pt idx="32">
                  <c:v>87.2</c:v>
                </c:pt>
                <c:pt idx="33">
                  <c:v>88.1</c:v>
                </c:pt>
                <c:pt idx="34">
                  <c:v>87.9</c:v>
                </c:pt>
                <c:pt idx="35">
                  <c:v>87.5</c:v>
                </c:pt>
                <c:pt idx="36">
                  <c:v>88.4</c:v>
                </c:pt>
                <c:pt idx="37">
                  <c:v>87.8</c:v>
                </c:pt>
                <c:pt idx="38">
                  <c:v>86.9</c:v>
                </c:pt>
                <c:pt idx="39">
                  <c:v>87.4</c:v>
                </c:pt>
                <c:pt idx="40">
                  <c:v>89.4</c:v>
                </c:pt>
                <c:pt idx="41">
                  <c:v>88.8</c:v>
                </c:pt>
                <c:pt idx="42">
                  <c:v>87.8</c:v>
                </c:pt>
                <c:pt idx="43">
                  <c:v>89.2</c:v>
                </c:pt>
                <c:pt idx="44">
                  <c:v>88</c:v>
                </c:pt>
                <c:pt idx="45">
                  <c:v>88.5</c:v>
                </c:pt>
                <c:pt idx="46">
                  <c:v>88.3</c:v>
                </c:pt>
                <c:pt idx="47">
                  <c:v>89.6</c:v>
                </c:pt>
                <c:pt idx="48">
                  <c:v>87.8</c:v>
                </c:pt>
                <c:pt idx="49">
                  <c:v>89.7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18-3F47-AEF9-D32F303D8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P6a!$A$6:$A$55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P6a!$B$6:$B$55</c:f>
              <c:numCache>
                <c:formatCode>0.0000</c:formatCode>
                <c:ptCount val="50"/>
                <c:pt idx="0">
                  <c:v>1.7343</c:v>
                </c:pt>
                <c:pt idx="1">
                  <c:v>1.4710000000000001</c:v>
                </c:pt>
                <c:pt idx="2">
                  <c:v>1.3498000000000001</c:v>
                </c:pt>
                <c:pt idx="3">
                  <c:v>1.2738</c:v>
                </c:pt>
                <c:pt idx="4">
                  <c:v>1.2170000000000001</c:v>
                </c:pt>
                <c:pt idx="5">
                  <c:v>1.177</c:v>
                </c:pt>
                <c:pt idx="6">
                  <c:v>1.1445000000000001</c:v>
                </c:pt>
                <c:pt idx="7">
                  <c:v>1.1145</c:v>
                </c:pt>
                <c:pt idx="8">
                  <c:v>1.0912999999999999</c:v>
                </c:pt>
                <c:pt idx="9">
                  <c:v>1.0753999999999999</c:v>
                </c:pt>
                <c:pt idx="10">
                  <c:v>1.0546</c:v>
                </c:pt>
                <c:pt idx="11">
                  <c:v>1.0450999999999999</c:v>
                </c:pt>
                <c:pt idx="12">
                  <c:v>1.0210999999999999</c:v>
                </c:pt>
                <c:pt idx="13">
                  <c:v>1.0073000000000001</c:v>
                </c:pt>
                <c:pt idx="14">
                  <c:v>0.99939999999999996</c:v>
                </c:pt>
                <c:pt idx="15">
                  <c:v>0.98319999999999996</c:v>
                </c:pt>
                <c:pt idx="16">
                  <c:v>0.97760000000000002</c:v>
                </c:pt>
                <c:pt idx="17">
                  <c:v>0.96630000000000005</c:v>
                </c:pt>
                <c:pt idx="18">
                  <c:v>0.95289999999999997</c:v>
                </c:pt>
                <c:pt idx="19">
                  <c:v>0.95209999999999995</c:v>
                </c:pt>
                <c:pt idx="20">
                  <c:v>0.94189999999999996</c:v>
                </c:pt>
                <c:pt idx="21">
                  <c:v>0.93769999999999998</c:v>
                </c:pt>
                <c:pt idx="22">
                  <c:v>0.92469999999999997</c:v>
                </c:pt>
                <c:pt idx="23">
                  <c:v>0.92200000000000004</c:v>
                </c:pt>
                <c:pt idx="24">
                  <c:v>0.91220000000000001</c:v>
                </c:pt>
                <c:pt idx="25">
                  <c:v>0.90790000000000004</c:v>
                </c:pt>
                <c:pt idx="26">
                  <c:v>0.8982</c:v>
                </c:pt>
                <c:pt idx="27">
                  <c:v>0.89839999999999998</c:v>
                </c:pt>
                <c:pt idx="28">
                  <c:v>0.8911</c:v>
                </c:pt>
                <c:pt idx="29">
                  <c:v>0.88370000000000004</c:v>
                </c:pt>
                <c:pt idx="30">
                  <c:v>0.88349999999999995</c:v>
                </c:pt>
                <c:pt idx="31">
                  <c:v>0.87629999999999997</c:v>
                </c:pt>
                <c:pt idx="32">
                  <c:v>0.87470000000000003</c:v>
                </c:pt>
                <c:pt idx="33">
                  <c:v>0.86890000000000001</c:v>
                </c:pt>
                <c:pt idx="34">
                  <c:v>0.86380000000000001</c:v>
                </c:pt>
                <c:pt idx="35">
                  <c:v>0.85809999999999997</c:v>
                </c:pt>
                <c:pt idx="36">
                  <c:v>0.85809999999999997</c:v>
                </c:pt>
                <c:pt idx="37">
                  <c:v>0.85570000000000002</c:v>
                </c:pt>
                <c:pt idx="38">
                  <c:v>0.85219999999999996</c:v>
                </c:pt>
                <c:pt idx="39">
                  <c:v>0.84940000000000004</c:v>
                </c:pt>
                <c:pt idx="40">
                  <c:v>0.84550000000000003</c:v>
                </c:pt>
                <c:pt idx="41">
                  <c:v>0.84050000000000002</c:v>
                </c:pt>
                <c:pt idx="42">
                  <c:v>0.83889999999999998</c:v>
                </c:pt>
                <c:pt idx="43">
                  <c:v>0.82979999999999998</c:v>
                </c:pt>
                <c:pt idx="44">
                  <c:v>0.82609999999999995</c:v>
                </c:pt>
                <c:pt idx="45">
                  <c:v>0.82989999999999997</c:v>
                </c:pt>
                <c:pt idx="46">
                  <c:v>0.82599999999999996</c:v>
                </c:pt>
                <c:pt idx="47">
                  <c:v>0.82540000000000002</c:v>
                </c:pt>
                <c:pt idx="48">
                  <c:v>0.82230000000000003</c:v>
                </c:pt>
                <c:pt idx="49">
                  <c:v>0.81540000000000001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10-2746-BB1B-3F9F882D2027}"/>
            </c:ext>
          </c:extLst>
        </c:ser>
        <c:ser>
          <c:idx val="1"/>
          <c:order val="1"/>
          <c:tx>
            <c:v>Val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P6a!$A$6:$A$55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P6a!$C$6:$C$55</c:f>
              <c:numCache>
                <c:formatCode>0.0000</c:formatCode>
                <c:ptCount val="50"/>
                <c:pt idx="0">
                  <c:v>1.4187000000000001</c:v>
                </c:pt>
                <c:pt idx="1">
                  <c:v>1.3512</c:v>
                </c:pt>
                <c:pt idx="2">
                  <c:v>1.29</c:v>
                </c:pt>
                <c:pt idx="3">
                  <c:v>1.1163000000000001</c:v>
                </c:pt>
                <c:pt idx="4">
                  <c:v>1.0852999999999999</c:v>
                </c:pt>
                <c:pt idx="5">
                  <c:v>1.0615000000000001</c:v>
                </c:pt>
                <c:pt idx="6">
                  <c:v>0.98780000000000001</c:v>
                </c:pt>
                <c:pt idx="7">
                  <c:v>0.98380000000000001</c:v>
                </c:pt>
                <c:pt idx="8">
                  <c:v>0.99870000000000003</c:v>
                </c:pt>
                <c:pt idx="9">
                  <c:v>0.95179999999999998</c:v>
                </c:pt>
                <c:pt idx="10">
                  <c:v>0.92920000000000003</c:v>
                </c:pt>
                <c:pt idx="11">
                  <c:v>0.90490000000000004</c:v>
                </c:pt>
                <c:pt idx="12">
                  <c:v>0.92679999999999996</c:v>
                </c:pt>
                <c:pt idx="13">
                  <c:v>0.87370000000000003</c:v>
                </c:pt>
                <c:pt idx="14">
                  <c:v>0.89759999999999995</c:v>
                </c:pt>
                <c:pt idx="15">
                  <c:v>0.86719999999999997</c:v>
                </c:pt>
                <c:pt idx="16">
                  <c:v>0.87180000000000002</c:v>
                </c:pt>
                <c:pt idx="17">
                  <c:v>0.86560000000000004</c:v>
                </c:pt>
                <c:pt idx="18">
                  <c:v>0.8387</c:v>
                </c:pt>
                <c:pt idx="19">
                  <c:v>0.85389999999999999</c:v>
                </c:pt>
                <c:pt idx="20">
                  <c:v>0.82979999999999998</c:v>
                </c:pt>
                <c:pt idx="21">
                  <c:v>0.84</c:v>
                </c:pt>
                <c:pt idx="22">
                  <c:v>0.83979999999999999</c:v>
                </c:pt>
                <c:pt idx="23">
                  <c:v>0.82679999999999998</c:v>
                </c:pt>
                <c:pt idx="24">
                  <c:v>0.83899999999999997</c:v>
                </c:pt>
                <c:pt idx="25">
                  <c:v>0.81320000000000003</c:v>
                </c:pt>
                <c:pt idx="26">
                  <c:v>0.8044</c:v>
                </c:pt>
                <c:pt idx="27">
                  <c:v>0.8206</c:v>
                </c:pt>
                <c:pt idx="28">
                  <c:v>0.79010000000000002</c:v>
                </c:pt>
                <c:pt idx="29">
                  <c:v>0.80659999999999998</c:v>
                </c:pt>
                <c:pt idx="30">
                  <c:v>0.80330000000000001</c:v>
                </c:pt>
                <c:pt idx="31">
                  <c:v>0.80610000000000004</c:v>
                </c:pt>
                <c:pt idx="32">
                  <c:v>0.81010000000000004</c:v>
                </c:pt>
                <c:pt idx="33">
                  <c:v>0.80779999999999996</c:v>
                </c:pt>
                <c:pt idx="34">
                  <c:v>0.80740000000000001</c:v>
                </c:pt>
                <c:pt idx="35">
                  <c:v>0.81040000000000001</c:v>
                </c:pt>
                <c:pt idx="36">
                  <c:v>0.78820000000000001</c:v>
                </c:pt>
                <c:pt idx="37">
                  <c:v>0.79059999999999997</c:v>
                </c:pt>
                <c:pt idx="38">
                  <c:v>0.78129999999999999</c:v>
                </c:pt>
                <c:pt idx="39">
                  <c:v>0.79</c:v>
                </c:pt>
                <c:pt idx="40">
                  <c:v>0.79259999999999997</c:v>
                </c:pt>
                <c:pt idx="41">
                  <c:v>0.79879999999999995</c:v>
                </c:pt>
                <c:pt idx="42">
                  <c:v>0.7823</c:v>
                </c:pt>
                <c:pt idx="43">
                  <c:v>0.79339999999999999</c:v>
                </c:pt>
                <c:pt idx="44">
                  <c:v>0.78139999999999998</c:v>
                </c:pt>
                <c:pt idx="45">
                  <c:v>0.78510000000000002</c:v>
                </c:pt>
                <c:pt idx="46">
                  <c:v>0.78449999999999998</c:v>
                </c:pt>
                <c:pt idx="47">
                  <c:v>0.79139999999999999</c:v>
                </c:pt>
                <c:pt idx="48">
                  <c:v>0.76119999999999999</c:v>
                </c:pt>
                <c:pt idx="49">
                  <c:v>0.76270000000000004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10-2746-BB1B-3F9F882D2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P6a!$A$6:$A$55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P6a!$D$6:$D$55</c:f>
              <c:numCache>
                <c:formatCode>0.00</c:formatCode>
                <c:ptCount val="50"/>
                <c:pt idx="0">
                  <c:v>42.63</c:v>
                </c:pt>
                <c:pt idx="1">
                  <c:v>56.44</c:v>
                </c:pt>
                <c:pt idx="2">
                  <c:v>62.93</c:v>
                </c:pt>
                <c:pt idx="3">
                  <c:v>66.33</c:v>
                </c:pt>
                <c:pt idx="4">
                  <c:v>69.44</c:v>
                </c:pt>
                <c:pt idx="5">
                  <c:v>71.03</c:v>
                </c:pt>
                <c:pt idx="6">
                  <c:v>72.53</c:v>
                </c:pt>
                <c:pt idx="7">
                  <c:v>73.930000000000007</c:v>
                </c:pt>
                <c:pt idx="8">
                  <c:v>75.19</c:v>
                </c:pt>
                <c:pt idx="9">
                  <c:v>75.989999999999995</c:v>
                </c:pt>
                <c:pt idx="10">
                  <c:v>77.150000000000006</c:v>
                </c:pt>
                <c:pt idx="11">
                  <c:v>77.09</c:v>
                </c:pt>
                <c:pt idx="12">
                  <c:v>78.42</c:v>
                </c:pt>
                <c:pt idx="13">
                  <c:v>79.09</c:v>
                </c:pt>
                <c:pt idx="14">
                  <c:v>79.510000000000005</c:v>
                </c:pt>
                <c:pt idx="15">
                  <c:v>80.13</c:v>
                </c:pt>
                <c:pt idx="16">
                  <c:v>80.44</c:v>
                </c:pt>
                <c:pt idx="17">
                  <c:v>81.03</c:v>
                </c:pt>
                <c:pt idx="18">
                  <c:v>81.73</c:v>
                </c:pt>
                <c:pt idx="19">
                  <c:v>81.41</c:v>
                </c:pt>
                <c:pt idx="20">
                  <c:v>81.98</c:v>
                </c:pt>
                <c:pt idx="21">
                  <c:v>82.36</c:v>
                </c:pt>
                <c:pt idx="22">
                  <c:v>82.96</c:v>
                </c:pt>
                <c:pt idx="23">
                  <c:v>83.02</c:v>
                </c:pt>
                <c:pt idx="24">
                  <c:v>83.14</c:v>
                </c:pt>
                <c:pt idx="25">
                  <c:v>83.76</c:v>
                </c:pt>
                <c:pt idx="26">
                  <c:v>84.16</c:v>
                </c:pt>
                <c:pt idx="27">
                  <c:v>84.09</c:v>
                </c:pt>
                <c:pt idx="28">
                  <c:v>84.45</c:v>
                </c:pt>
                <c:pt idx="29">
                  <c:v>84.51</c:v>
                </c:pt>
                <c:pt idx="30">
                  <c:v>84.64</c:v>
                </c:pt>
                <c:pt idx="31">
                  <c:v>84.97</c:v>
                </c:pt>
                <c:pt idx="32">
                  <c:v>85.11</c:v>
                </c:pt>
                <c:pt idx="33">
                  <c:v>85.32</c:v>
                </c:pt>
                <c:pt idx="34">
                  <c:v>85.61</c:v>
                </c:pt>
                <c:pt idx="35">
                  <c:v>85.91</c:v>
                </c:pt>
                <c:pt idx="36">
                  <c:v>85.77</c:v>
                </c:pt>
                <c:pt idx="37">
                  <c:v>85.82</c:v>
                </c:pt>
                <c:pt idx="38">
                  <c:v>85.98</c:v>
                </c:pt>
                <c:pt idx="39">
                  <c:v>86.21</c:v>
                </c:pt>
                <c:pt idx="40">
                  <c:v>86.42</c:v>
                </c:pt>
                <c:pt idx="41">
                  <c:v>86.74</c:v>
                </c:pt>
                <c:pt idx="42">
                  <c:v>86.7</c:v>
                </c:pt>
                <c:pt idx="43">
                  <c:v>87.11</c:v>
                </c:pt>
                <c:pt idx="44">
                  <c:v>87.3</c:v>
                </c:pt>
                <c:pt idx="45">
                  <c:v>87.07</c:v>
                </c:pt>
                <c:pt idx="46">
                  <c:v>87.3</c:v>
                </c:pt>
                <c:pt idx="47">
                  <c:v>87.27</c:v>
                </c:pt>
                <c:pt idx="48">
                  <c:v>87.55</c:v>
                </c:pt>
                <c:pt idx="49">
                  <c:v>87.63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E2-B841-A773-56D84C6190C1}"/>
            </c:ext>
          </c:extLst>
        </c:ser>
        <c:ser>
          <c:idx val="1"/>
          <c:order val="1"/>
          <c:tx>
            <c:v>Val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P6a!$A$6:$A$55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P6a!$E$6:$E$55</c:f>
              <c:numCache>
                <c:formatCode>0.00</c:formatCode>
                <c:ptCount val="50"/>
                <c:pt idx="0">
                  <c:v>58.4</c:v>
                </c:pt>
                <c:pt idx="1">
                  <c:v>63.6</c:v>
                </c:pt>
                <c:pt idx="2">
                  <c:v>64.2</c:v>
                </c:pt>
                <c:pt idx="3">
                  <c:v>72.400000000000006</c:v>
                </c:pt>
                <c:pt idx="4">
                  <c:v>74.2</c:v>
                </c:pt>
                <c:pt idx="5">
                  <c:v>74.900000000000006</c:v>
                </c:pt>
                <c:pt idx="6">
                  <c:v>79</c:v>
                </c:pt>
                <c:pt idx="7">
                  <c:v>79.5</c:v>
                </c:pt>
                <c:pt idx="8">
                  <c:v>77.7</c:v>
                </c:pt>
                <c:pt idx="9">
                  <c:v>79.900000000000006</c:v>
                </c:pt>
                <c:pt idx="10">
                  <c:v>82.2</c:v>
                </c:pt>
                <c:pt idx="11">
                  <c:v>82.4</c:v>
                </c:pt>
                <c:pt idx="12">
                  <c:v>82.2</c:v>
                </c:pt>
                <c:pt idx="13">
                  <c:v>83.9</c:v>
                </c:pt>
                <c:pt idx="14">
                  <c:v>83.4</c:v>
                </c:pt>
                <c:pt idx="15">
                  <c:v>84.7</c:v>
                </c:pt>
                <c:pt idx="16">
                  <c:v>83.6</c:v>
                </c:pt>
                <c:pt idx="17">
                  <c:v>84.6</c:v>
                </c:pt>
                <c:pt idx="18">
                  <c:v>86</c:v>
                </c:pt>
                <c:pt idx="19">
                  <c:v>84.6</c:v>
                </c:pt>
                <c:pt idx="20">
                  <c:v>85.8</c:v>
                </c:pt>
                <c:pt idx="21">
                  <c:v>84.6</c:v>
                </c:pt>
                <c:pt idx="22">
                  <c:v>85.7</c:v>
                </c:pt>
                <c:pt idx="23">
                  <c:v>86.2</c:v>
                </c:pt>
                <c:pt idx="24">
                  <c:v>85.8</c:v>
                </c:pt>
                <c:pt idx="25">
                  <c:v>86.2</c:v>
                </c:pt>
                <c:pt idx="26">
                  <c:v>87.5</c:v>
                </c:pt>
                <c:pt idx="27">
                  <c:v>86.1</c:v>
                </c:pt>
                <c:pt idx="28">
                  <c:v>88.5</c:v>
                </c:pt>
                <c:pt idx="29">
                  <c:v>86.9</c:v>
                </c:pt>
                <c:pt idx="30">
                  <c:v>87.5</c:v>
                </c:pt>
                <c:pt idx="31">
                  <c:v>87.5</c:v>
                </c:pt>
                <c:pt idx="32">
                  <c:v>86.7</c:v>
                </c:pt>
                <c:pt idx="33">
                  <c:v>86.6</c:v>
                </c:pt>
                <c:pt idx="34">
                  <c:v>86.5</c:v>
                </c:pt>
                <c:pt idx="35">
                  <c:v>87.4</c:v>
                </c:pt>
                <c:pt idx="36">
                  <c:v>87.7</c:v>
                </c:pt>
                <c:pt idx="37">
                  <c:v>87.6</c:v>
                </c:pt>
                <c:pt idx="38">
                  <c:v>87.5</c:v>
                </c:pt>
                <c:pt idx="39">
                  <c:v>87.9</c:v>
                </c:pt>
                <c:pt idx="40">
                  <c:v>87.8</c:v>
                </c:pt>
                <c:pt idx="41">
                  <c:v>87.5</c:v>
                </c:pt>
                <c:pt idx="42">
                  <c:v>87.7</c:v>
                </c:pt>
                <c:pt idx="43">
                  <c:v>87.9</c:v>
                </c:pt>
                <c:pt idx="44">
                  <c:v>88.1</c:v>
                </c:pt>
                <c:pt idx="45">
                  <c:v>87.7</c:v>
                </c:pt>
                <c:pt idx="46">
                  <c:v>87.8</c:v>
                </c:pt>
                <c:pt idx="47">
                  <c:v>87.4</c:v>
                </c:pt>
                <c:pt idx="48">
                  <c:v>88.6</c:v>
                </c:pt>
                <c:pt idx="49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E2-B841-A773-56D84C619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P6b!$A$6:$A$55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P6b!$B$6:$B$55</c:f>
              <c:numCache>
                <c:formatCode>0.0000</c:formatCode>
                <c:ptCount val="50"/>
                <c:pt idx="0">
                  <c:v>1.6019000000000001</c:v>
                </c:pt>
                <c:pt idx="1">
                  <c:v>1.2332000000000001</c:v>
                </c:pt>
                <c:pt idx="2">
                  <c:v>1.0458000000000001</c:v>
                </c:pt>
                <c:pt idx="3">
                  <c:v>0.90820000000000001</c:v>
                </c:pt>
                <c:pt idx="4">
                  <c:v>0.81040000000000001</c:v>
                </c:pt>
                <c:pt idx="5">
                  <c:v>0.73040000000000005</c:v>
                </c:pt>
                <c:pt idx="6">
                  <c:v>0.66539999999999999</c:v>
                </c:pt>
                <c:pt idx="7">
                  <c:v>0.61370000000000002</c:v>
                </c:pt>
                <c:pt idx="8">
                  <c:v>0.57920000000000005</c:v>
                </c:pt>
                <c:pt idx="9">
                  <c:v>0.56030000000000002</c:v>
                </c:pt>
                <c:pt idx="10">
                  <c:v>0.75970000000000004</c:v>
                </c:pt>
                <c:pt idx="11">
                  <c:v>0.70189999999999997</c:v>
                </c:pt>
                <c:pt idx="12">
                  <c:v>0.65159999999999996</c:v>
                </c:pt>
                <c:pt idx="13">
                  <c:v>0.60750000000000004</c:v>
                </c:pt>
                <c:pt idx="14">
                  <c:v>0.55689999999999995</c:v>
                </c:pt>
                <c:pt idx="15">
                  <c:v>0.51490000000000002</c:v>
                </c:pt>
                <c:pt idx="16">
                  <c:v>0.47349999999999998</c:v>
                </c:pt>
                <c:pt idx="17">
                  <c:v>0.43980000000000002</c:v>
                </c:pt>
                <c:pt idx="18">
                  <c:v>0.41930000000000001</c:v>
                </c:pt>
                <c:pt idx="19">
                  <c:v>0.4088</c:v>
                </c:pt>
                <c:pt idx="20">
                  <c:v>0.58050000000000002</c:v>
                </c:pt>
                <c:pt idx="21">
                  <c:v>0.55940000000000001</c:v>
                </c:pt>
                <c:pt idx="22">
                  <c:v>0.5252</c:v>
                </c:pt>
                <c:pt idx="23">
                  <c:v>0.49249999999999999</c:v>
                </c:pt>
                <c:pt idx="24">
                  <c:v>0.45650000000000002</c:v>
                </c:pt>
                <c:pt idx="25">
                  <c:v>0.42430000000000001</c:v>
                </c:pt>
                <c:pt idx="26">
                  <c:v>0.38950000000000001</c:v>
                </c:pt>
                <c:pt idx="27">
                  <c:v>0.36899999999999999</c:v>
                </c:pt>
                <c:pt idx="28">
                  <c:v>0.34350000000000003</c:v>
                </c:pt>
                <c:pt idx="29">
                  <c:v>0.33860000000000001</c:v>
                </c:pt>
                <c:pt idx="30">
                  <c:v>0.48720000000000002</c:v>
                </c:pt>
                <c:pt idx="31">
                  <c:v>0.47510000000000002</c:v>
                </c:pt>
                <c:pt idx="32">
                  <c:v>0.45440000000000003</c:v>
                </c:pt>
                <c:pt idx="33">
                  <c:v>0.42320000000000002</c:v>
                </c:pt>
                <c:pt idx="34">
                  <c:v>0.39479999999999998</c:v>
                </c:pt>
                <c:pt idx="35">
                  <c:v>0.36520000000000002</c:v>
                </c:pt>
                <c:pt idx="36">
                  <c:v>0.3357</c:v>
                </c:pt>
                <c:pt idx="37">
                  <c:v>0.3165</c:v>
                </c:pt>
                <c:pt idx="38">
                  <c:v>0.30170000000000002</c:v>
                </c:pt>
                <c:pt idx="39">
                  <c:v>0.29389999999999999</c:v>
                </c:pt>
                <c:pt idx="40">
                  <c:v>0.42130000000000001</c:v>
                </c:pt>
                <c:pt idx="41">
                  <c:v>0.42320000000000002</c:v>
                </c:pt>
                <c:pt idx="42">
                  <c:v>0.40100000000000002</c:v>
                </c:pt>
                <c:pt idx="43">
                  <c:v>0.37990000000000002</c:v>
                </c:pt>
                <c:pt idx="44">
                  <c:v>0.35</c:v>
                </c:pt>
                <c:pt idx="45">
                  <c:v>0.31950000000000001</c:v>
                </c:pt>
                <c:pt idx="46">
                  <c:v>0.30020000000000002</c:v>
                </c:pt>
                <c:pt idx="47">
                  <c:v>0.27710000000000001</c:v>
                </c:pt>
                <c:pt idx="48">
                  <c:v>0.26469999999999999</c:v>
                </c:pt>
                <c:pt idx="49">
                  <c:v>0.26029999999999998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3A-EF4D-B09E-575F50D38165}"/>
            </c:ext>
          </c:extLst>
        </c:ser>
        <c:ser>
          <c:idx val="1"/>
          <c:order val="1"/>
          <c:tx>
            <c:v>Val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P6b!$A$6:$A$55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P6b!$C$6:$C$55</c:f>
              <c:numCache>
                <c:formatCode>0.0000</c:formatCode>
                <c:ptCount val="50"/>
                <c:pt idx="0">
                  <c:v>1.3762000000000001</c:v>
                </c:pt>
                <c:pt idx="1">
                  <c:v>1.1386000000000001</c:v>
                </c:pt>
                <c:pt idx="2">
                  <c:v>0.82089999999999996</c:v>
                </c:pt>
                <c:pt idx="3">
                  <c:v>0.73</c:v>
                </c:pt>
                <c:pt idx="4">
                  <c:v>0.64459999999999995</c:v>
                </c:pt>
                <c:pt idx="5">
                  <c:v>0.5746</c:v>
                </c:pt>
                <c:pt idx="6">
                  <c:v>0.52749999999999997</c:v>
                </c:pt>
                <c:pt idx="7">
                  <c:v>0.50039999999999996</c:v>
                </c:pt>
                <c:pt idx="8">
                  <c:v>0.4874</c:v>
                </c:pt>
                <c:pt idx="9">
                  <c:v>0.48139999999999999</c:v>
                </c:pt>
                <c:pt idx="10">
                  <c:v>0.65210000000000001</c:v>
                </c:pt>
                <c:pt idx="11">
                  <c:v>0.58430000000000004</c:v>
                </c:pt>
                <c:pt idx="12">
                  <c:v>0.53520000000000001</c:v>
                </c:pt>
                <c:pt idx="13">
                  <c:v>0.49630000000000002</c:v>
                </c:pt>
                <c:pt idx="14">
                  <c:v>0.48870000000000002</c:v>
                </c:pt>
                <c:pt idx="15">
                  <c:v>0.43559999999999999</c:v>
                </c:pt>
                <c:pt idx="16">
                  <c:v>0.40129999999999999</c:v>
                </c:pt>
                <c:pt idx="17">
                  <c:v>0.3695</c:v>
                </c:pt>
                <c:pt idx="18">
                  <c:v>0.3674</c:v>
                </c:pt>
                <c:pt idx="19">
                  <c:v>0.36559999999999998</c:v>
                </c:pt>
                <c:pt idx="20">
                  <c:v>0.50149999999999995</c:v>
                </c:pt>
                <c:pt idx="21">
                  <c:v>0.48280000000000001</c:v>
                </c:pt>
                <c:pt idx="22">
                  <c:v>0.43890000000000001</c:v>
                </c:pt>
                <c:pt idx="23">
                  <c:v>0.43980000000000002</c:v>
                </c:pt>
                <c:pt idx="24">
                  <c:v>0.38500000000000001</c:v>
                </c:pt>
                <c:pt idx="25">
                  <c:v>0.36609999999999998</c:v>
                </c:pt>
                <c:pt idx="26">
                  <c:v>0.35670000000000002</c:v>
                </c:pt>
                <c:pt idx="27">
                  <c:v>0.35930000000000001</c:v>
                </c:pt>
                <c:pt idx="28">
                  <c:v>0.34470000000000001</c:v>
                </c:pt>
                <c:pt idx="29">
                  <c:v>0.34200000000000003</c:v>
                </c:pt>
                <c:pt idx="30">
                  <c:v>0.44979999999999998</c:v>
                </c:pt>
                <c:pt idx="31">
                  <c:v>0.4506</c:v>
                </c:pt>
                <c:pt idx="32">
                  <c:v>0.40860000000000002</c:v>
                </c:pt>
                <c:pt idx="33">
                  <c:v>0.38919999999999999</c:v>
                </c:pt>
                <c:pt idx="34">
                  <c:v>0.36059999999999998</c:v>
                </c:pt>
                <c:pt idx="35">
                  <c:v>0.34760000000000002</c:v>
                </c:pt>
                <c:pt idx="36">
                  <c:v>0.33479999999999999</c:v>
                </c:pt>
                <c:pt idx="37">
                  <c:v>0.33760000000000001</c:v>
                </c:pt>
                <c:pt idx="38">
                  <c:v>0.33679999999999999</c:v>
                </c:pt>
                <c:pt idx="39">
                  <c:v>0.33860000000000001</c:v>
                </c:pt>
                <c:pt idx="40">
                  <c:v>0.40350000000000003</c:v>
                </c:pt>
                <c:pt idx="41">
                  <c:v>0.35749999999999998</c:v>
                </c:pt>
                <c:pt idx="42">
                  <c:v>0.4254</c:v>
                </c:pt>
                <c:pt idx="43">
                  <c:v>0.39810000000000001</c:v>
                </c:pt>
                <c:pt idx="44">
                  <c:v>0.37409999999999999</c:v>
                </c:pt>
                <c:pt idx="45">
                  <c:v>0.32269999999999999</c:v>
                </c:pt>
                <c:pt idx="46">
                  <c:v>0.32619999999999999</c:v>
                </c:pt>
                <c:pt idx="47">
                  <c:v>0.30409999999999998</c:v>
                </c:pt>
                <c:pt idx="48">
                  <c:v>0.30830000000000002</c:v>
                </c:pt>
                <c:pt idx="49">
                  <c:v>0.30530000000000002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3A-EF4D-B09E-575F50D38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P6b!$A$6:$A$55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P6b!$D$6:$D$55</c:f>
              <c:numCache>
                <c:formatCode>0.00</c:formatCode>
                <c:ptCount val="50"/>
                <c:pt idx="0">
                  <c:v>40.71</c:v>
                </c:pt>
                <c:pt idx="1">
                  <c:v>55.82</c:v>
                </c:pt>
                <c:pt idx="2">
                  <c:v>63.3</c:v>
                </c:pt>
                <c:pt idx="3">
                  <c:v>68.709999999999994</c:v>
                </c:pt>
                <c:pt idx="4">
                  <c:v>72.05</c:v>
                </c:pt>
                <c:pt idx="5">
                  <c:v>75.05</c:v>
                </c:pt>
                <c:pt idx="6">
                  <c:v>77.31</c:v>
                </c:pt>
                <c:pt idx="7">
                  <c:v>79.06</c:v>
                </c:pt>
                <c:pt idx="8">
                  <c:v>80.31</c:v>
                </c:pt>
                <c:pt idx="9">
                  <c:v>80.91</c:v>
                </c:pt>
                <c:pt idx="10">
                  <c:v>74.31</c:v>
                </c:pt>
                <c:pt idx="11">
                  <c:v>76.239999999999995</c:v>
                </c:pt>
                <c:pt idx="12">
                  <c:v>77.959999999999994</c:v>
                </c:pt>
                <c:pt idx="13">
                  <c:v>79.47</c:v>
                </c:pt>
                <c:pt idx="14">
                  <c:v>81.290000000000006</c:v>
                </c:pt>
                <c:pt idx="15">
                  <c:v>82.64</c:v>
                </c:pt>
                <c:pt idx="16">
                  <c:v>84.11</c:v>
                </c:pt>
                <c:pt idx="17">
                  <c:v>85.04</c:v>
                </c:pt>
                <c:pt idx="18">
                  <c:v>85.72</c:v>
                </c:pt>
                <c:pt idx="19">
                  <c:v>86.21</c:v>
                </c:pt>
                <c:pt idx="20">
                  <c:v>80.319999999999993</c:v>
                </c:pt>
                <c:pt idx="21">
                  <c:v>81.3</c:v>
                </c:pt>
                <c:pt idx="22">
                  <c:v>82.38</c:v>
                </c:pt>
                <c:pt idx="23">
                  <c:v>83.36</c:v>
                </c:pt>
                <c:pt idx="24">
                  <c:v>84.54</c:v>
                </c:pt>
                <c:pt idx="25">
                  <c:v>85.53</c:v>
                </c:pt>
                <c:pt idx="26">
                  <c:v>86.78</c:v>
                </c:pt>
                <c:pt idx="27">
                  <c:v>87.52</c:v>
                </c:pt>
                <c:pt idx="28">
                  <c:v>88.26</c:v>
                </c:pt>
                <c:pt idx="29">
                  <c:v>88.49</c:v>
                </c:pt>
                <c:pt idx="30">
                  <c:v>83.56</c:v>
                </c:pt>
                <c:pt idx="31">
                  <c:v>84.06</c:v>
                </c:pt>
                <c:pt idx="32">
                  <c:v>84.51</c:v>
                </c:pt>
                <c:pt idx="33">
                  <c:v>85.64</c:v>
                </c:pt>
                <c:pt idx="34">
                  <c:v>86.71</c:v>
                </c:pt>
                <c:pt idx="35">
                  <c:v>87.65</c:v>
                </c:pt>
                <c:pt idx="36">
                  <c:v>88.57</c:v>
                </c:pt>
                <c:pt idx="37">
                  <c:v>89.11</c:v>
                </c:pt>
                <c:pt idx="38">
                  <c:v>89.69</c:v>
                </c:pt>
                <c:pt idx="39">
                  <c:v>89.93</c:v>
                </c:pt>
                <c:pt idx="40">
                  <c:v>85.74</c:v>
                </c:pt>
                <c:pt idx="41">
                  <c:v>85.8</c:v>
                </c:pt>
                <c:pt idx="42">
                  <c:v>86.4</c:v>
                </c:pt>
                <c:pt idx="43">
                  <c:v>86.94</c:v>
                </c:pt>
                <c:pt idx="44">
                  <c:v>88.19</c:v>
                </c:pt>
                <c:pt idx="45">
                  <c:v>89.08</c:v>
                </c:pt>
                <c:pt idx="46">
                  <c:v>89.65</c:v>
                </c:pt>
                <c:pt idx="47">
                  <c:v>90.42</c:v>
                </c:pt>
                <c:pt idx="48">
                  <c:v>90.93</c:v>
                </c:pt>
                <c:pt idx="49">
                  <c:v>91.03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A7-B241-B0ED-155E820794EB}"/>
            </c:ext>
          </c:extLst>
        </c:ser>
        <c:ser>
          <c:idx val="1"/>
          <c:order val="1"/>
          <c:tx>
            <c:v>Val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P6b!$A$6:$A$55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P6b!$E$6:$E$55</c:f>
              <c:numCache>
                <c:formatCode>0.00</c:formatCode>
                <c:ptCount val="50"/>
                <c:pt idx="0">
                  <c:v>49</c:v>
                </c:pt>
                <c:pt idx="1">
                  <c:v>61.2</c:v>
                </c:pt>
                <c:pt idx="2">
                  <c:v>71.7</c:v>
                </c:pt>
                <c:pt idx="3">
                  <c:v>75.400000000000006</c:v>
                </c:pt>
                <c:pt idx="4">
                  <c:v>78.599999999999994</c:v>
                </c:pt>
                <c:pt idx="5">
                  <c:v>80</c:v>
                </c:pt>
                <c:pt idx="6">
                  <c:v>81.7</c:v>
                </c:pt>
                <c:pt idx="7">
                  <c:v>83.3</c:v>
                </c:pt>
                <c:pt idx="8">
                  <c:v>84.1</c:v>
                </c:pt>
                <c:pt idx="9">
                  <c:v>83.7</c:v>
                </c:pt>
                <c:pt idx="10">
                  <c:v>77.599999999999994</c:v>
                </c:pt>
                <c:pt idx="11">
                  <c:v>79.8</c:v>
                </c:pt>
                <c:pt idx="12">
                  <c:v>81.900000000000006</c:v>
                </c:pt>
                <c:pt idx="13">
                  <c:v>82.2</c:v>
                </c:pt>
                <c:pt idx="14">
                  <c:v>82.6</c:v>
                </c:pt>
                <c:pt idx="15">
                  <c:v>85.4</c:v>
                </c:pt>
                <c:pt idx="16">
                  <c:v>85.6</c:v>
                </c:pt>
                <c:pt idx="17">
                  <c:v>86.6</c:v>
                </c:pt>
                <c:pt idx="18">
                  <c:v>86.5</c:v>
                </c:pt>
                <c:pt idx="19">
                  <c:v>86.9</c:v>
                </c:pt>
                <c:pt idx="20">
                  <c:v>83.2</c:v>
                </c:pt>
                <c:pt idx="21">
                  <c:v>83.6</c:v>
                </c:pt>
                <c:pt idx="22">
                  <c:v>85.5</c:v>
                </c:pt>
                <c:pt idx="23">
                  <c:v>85.6</c:v>
                </c:pt>
                <c:pt idx="24">
                  <c:v>86.6</c:v>
                </c:pt>
                <c:pt idx="25">
                  <c:v>86.8</c:v>
                </c:pt>
                <c:pt idx="26">
                  <c:v>87.9</c:v>
                </c:pt>
                <c:pt idx="27">
                  <c:v>88</c:v>
                </c:pt>
                <c:pt idx="28">
                  <c:v>88.8</c:v>
                </c:pt>
                <c:pt idx="29">
                  <c:v>88.7</c:v>
                </c:pt>
                <c:pt idx="30">
                  <c:v>83.9</c:v>
                </c:pt>
                <c:pt idx="31">
                  <c:v>84.6</c:v>
                </c:pt>
                <c:pt idx="32">
                  <c:v>85.5</c:v>
                </c:pt>
                <c:pt idx="33">
                  <c:v>86.2</c:v>
                </c:pt>
                <c:pt idx="34">
                  <c:v>88</c:v>
                </c:pt>
                <c:pt idx="35">
                  <c:v>89.6</c:v>
                </c:pt>
                <c:pt idx="36">
                  <c:v>88.7</c:v>
                </c:pt>
                <c:pt idx="37">
                  <c:v>89.1</c:v>
                </c:pt>
                <c:pt idx="38">
                  <c:v>88.7</c:v>
                </c:pt>
                <c:pt idx="39">
                  <c:v>89.3</c:v>
                </c:pt>
                <c:pt idx="40">
                  <c:v>86.9</c:v>
                </c:pt>
                <c:pt idx="41">
                  <c:v>86.6</c:v>
                </c:pt>
                <c:pt idx="42">
                  <c:v>86.6</c:v>
                </c:pt>
                <c:pt idx="43">
                  <c:v>86.5</c:v>
                </c:pt>
                <c:pt idx="44">
                  <c:v>87.6</c:v>
                </c:pt>
                <c:pt idx="45">
                  <c:v>89</c:v>
                </c:pt>
                <c:pt idx="46">
                  <c:v>90.2</c:v>
                </c:pt>
                <c:pt idx="47">
                  <c:v>90.4</c:v>
                </c:pt>
                <c:pt idx="48">
                  <c:v>89.9</c:v>
                </c:pt>
                <c:pt idx="49">
                  <c:v>90.1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A7-B241-B0ED-155E82079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P6c!$A$6:$A$55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P6c!$B$6:$B$55</c:f>
              <c:numCache>
                <c:formatCode>0.0000</c:formatCode>
                <c:ptCount val="50"/>
                <c:pt idx="0">
                  <c:v>1.605</c:v>
                </c:pt>
                <c:pt idx="1">
                  <c:v>1.2509999999999999</c:v>
                </c:pt>
                <c:pt idx="2">
                  <c:v>1.0911</c:v>
                </c:pt>
                <c:pt idx="3">
                  <c:v>0.98060000000000003</c:v>
                </c:pt>
                <c:pt idx="4">
                  <c:v>0.90039999999999998</c:v>
                </c:pt>
                <c:pt idx="5">
                  <c:v>0.83240000000000003</c:v>
                </c:pt>
                <c:pt idx="6">
                  <c:v>0.7853</c:v>
                </c:pt>
                <c:pt idx="7">
                  <c:v>0.74139999999999995</c:v>
                </c:pt>
                <c:pt idx="8">
                  <c:v>0.71409999999999996</c:v>
                </c:pt>
                <c:pt idx="9">
                  <c:v>0.68140000000000001</c:v>
                </c:pt>
                <c:pt idx="10">
                  <c:v>0.6603</c:v>
                </c:pt>
                <c:pt idx="11">
                  <c:v>0.63260000000000005</c:v>
                </c:pt>
                <c:pt idx="12">
                  <c:v>0.62109999999999999</c:v>
                </c:pt>
                <c:pt idx="13">
                  <c:v>0.59789999999999999</c:v>
                </c:pt>
                <c:pt idx="14">
                  <c:v>0.5806</c:v>
                </c:pt>
                <c:pt idx="15">
                  <c:v>0.57440000000000002</c:v>
                </c:pt>
                <c:pt idx="16">
                  <c:v>0.55230000000000001</c:v>
                </c:pt>
                <c:pt idx="17">
                  <c:v>0.53939999999999999</c:v>
                </c:pt>
                <c:pt idx="18">
                  <c:v>0.5232</c:v>
                </c:pt>
                <c:pt idx="19">
                  <c:v>0.51519999999999999</c:v>
                </c:pt>
                <c:pt idx="20">
                  <c:v>0.50729999999999997</c:v>
                </c:pt>
                <c:pt idx="21">
                  <c:v>0.4909</c:v>
                </c:pt>
                <c:pt idx="22">
                  <c:v>0.49149999999999999</c:v>
                </c:pt>
                <c:pt idx="23">
                  <c:v>0.47560000000000002</c:v>
                </c:pt>
                <c:pt idx="24">
                  <c:v>0.47060000000000002</c:v>
                </c:pt>
                <c:pt idx="25">
                  <c:v>0.46089999999999998</c:v>
                </c:pt>
                <c:pt idx="26">
                  <c:v>0.45429999999999998</c:v>
                </c:pt>
                <c:pt idx="27">
                  <c:v>0.44679999999999997</c:v>
                </c:pt>
                <c:pt idx="28">
                  <c:v>0.43959999999999999</c:v>
                </c:pt>
                <c:pt idx="29">
                  <c:v>0.42880000000000001</c:v>
                </c:pt>
                <c:pt idx="30">
                  <c:v>0.42480000000000001</c:v>
                </c:pt>
                <c:pt idx="31">
                  <c:v>0.41889999999999999</c:v>
                </c:pt>
                <c:pt idx="32">
                  <c:v>0.41049999999999998</c:v>
                </c:pt>
                <c:pt idx="33">
                  <c:v>0.41060000000000002</c:v>
                </c:pt>
                <c:pt idx="34">
                  <c:v>0.39700000000000002</c:v>
                </c:pt>
                <c:pt idx="35">
                  <c:v>0.39179999999999998</c:v>
                </c:pt>
                <c:pt idx="36">
                  <c:v>0.38990000000000002</c:v>
                </c:pt>
                <c:pt idx="37">
                  <c:v>0.38329999999999997</c:v>
                </c:pt>
                <c:pt idx="38">
                  <c:v>0.38</c:v>
                </c:pt>
                <c:pt idx="39">
                  <c:v>0.37280000000000002</c:v>
                </c:pt>
                <c:pt idx="40">
                  <c:v>0.3664</c:v>
                </c:pt>
                <c:pt idx="41">
                  <c:v>0.36780000000000002</c:v>
                </c:pt>
                <c:pt idx="42">
                  <c:v>0.36559999999999998</c:v>
                </c:pt>
                <c:pt idx="43">
                  <c:v>0.35599999999999998</c:v>
                </c:pt>
                <c:pt idx="44">
                  <c:v>0.3493</c:v>
                </c:pt>
                <c:pt idx="45">
                  <c:v>0.34720000000000001</c:v>
                </c:pt>
                <c:pt idx="46">
                  <c:v>0.33829999999999999</c:v>
                </c:pt>
                <c:pt idx="47">
                  <c:v>0.33929999999999999</c:v>
                </c:pt>
                <c:pt idx="48">
                  <c:v>0.3407</c:v>
                </c:pt>
                <c:pt idx="49">
                  <c:v>0.33139999999999997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A5-1743-8647-24A0D20AED3B}"/>
            </c:ext>
          </c:extLst>
        </c:ser>
        <c:ser>
          <c:idx val="1"/>
          <c:order val="1"/>
          <c:tx>
            <c:v>Val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P6c!$A$6:$A$55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P6c!$C$6:$C$55</c:f>
              <c:numCache>
                <c:formatCode>0.0000</c:formatCode>
                <c:ptCount val="50"/>
                <c:pt idx="0">
                  <c:v>1.2177</c:v>
                </c:pt>
                <c:pt idx="1">
                  <c:v>1.0597000000000001</c:v>
                </c:pt>
                <c:pt idx="2">
                  <c:v>0.88560000000000005</c:v>
                </c:pt>
                <c:pt idx="3">
                  <c:v>0.81130000000000002</c:v>
                </c:pt>
                <c:pt idx="4">
                  <c:v>0.746</c:v>
                </c:pt>
                <c:pt idx="5">
                  <c:v>0.67569999999999997</c:v>
                </c:pt>
                <c:pt idx="6">
                  <c:v>0.6411</c:v>
                </c:pt>
                <c:pt idx="7">
                  <c:v>0.59260000000000002</c:v>
                </c:pt>
                <c:pt idx="8">
                  <c:v>0.60160000000000002</c:v>
                </c:pt>
                <c:pt idx="9">
                  <c:v>0.5847</c:v>
                </c:pt>
                <c:pt idx="10">
                  <c:v>0.55249999999999999</c:v>
                </c:pt>
                <c:pt idx="11">
                  <c:v>0.5171</c:v>
                </c:pt>
                <c:pt idx="12">
                  <c:v>0.52090000000000003</c:v>
                </c:pt>
                <c:pt idx="13">
                  <c:v>0.54979999999999996</c:v>
                </c:pt>
                <c:pt idx="14">
                  <c:v>0.5151</c:v>
                </c:pt>
                <c:pt idx="15">
                  <c:v>0.52190000000000003</c:v>
                </c:pt>
                <c:pt idx="16">
                  <c:v>0.4718</c:v>
                </c:pt>
                <c:pt idx="17">
                  <c:v>0.45989999999999998</c:v>
                </c:pt>
                <c:pt idx="18">
                  <c:v>0.45400000000000001</c:v>
                </c:pt>
                <c:pt idx="19">
                  <c:v>0.44140000000000001</c:v>
                </c:pt>
                <c:pt idx="20">
                  <c:v>0.44280000000000003</c:v>
                </c:pt>
                <c:pt idx="21">
                  <c:v>0.44479999999999997</c:v>
                </c:pt>
                <c:pt idx="22">
                  <c:v>0.42270000000000002</c:v>
                </c:pt>
                <c:pt idx="23">
                  <c:v>0.441</c:v>
                </c:pt>
                <c:pt idx="24">
                  <c:v>0.42359999999999998</c:v>
                </c:pt>
                <c:pt idx="25">
                  <c:v>0.43580000000000002</c:v>
                </c:pt>
                <c:pt idx="26">
                  <c:v>0.41909999999999997</c:v>
                </c:pt>
                <c:pt idx="27">
                  <c:v>0.43020000000000003</c:v>
                </c:pt>
                <c:pt idx="28">
                  <c:v>0.39889999999999998</c:v>
                </c:pt>
                <c:pt idx="29">
                  <c:v>0.42580000000000001</c:v>
                </c:pt>
                <c:pt idx="30">
                  <c:v>0.41489999999999999</c:v>
                </c:pt>
                <c:pt idx="31">
                  <c:v>0.43340000000000001</c:v>
                </c:pt>
                <c:pt idx="32">
                  <c:v>0.4294</c:v>
                </c:pt>
                <c:pt idx="33">
                  <c:v>0.40679999999999999</c:v>
                </c:pt>
                <c:pt idx="34">
                  <c:v>0.4224</c:v>
                </c:pt>
                <c:pt idx="35">
                  <c:v>0.42749999999999999</c:v>
                </c:pt>
                <c:pt idx="36">
                  <c:v>0.4168</c:v>
                </c:pt>
                <c:pt idx="37">
                  <c:v>0.47160000000000002</c:v>
                </c:pt>
                <c:pt idx="38">
                  <c:v>0.39529999999999998</c:v>
                </c:pt>
                <c:pt idx="39">
                  <c:v>0.36320000000000002</c:v>
                </c:pt>
                <c:pt idx="40">
                  <c:v>0.3745</c:v>
                </c:pt>
                <c:pt idx="41">
                  <c:v>0.38740000000000002</c:v>
                </c:pt>
                <c:pt idx="42">
                  <c:v>0.4128</c:v>
                </c:pt>
                <c:pt idx="43">
                  <c:v>0.39</c:v>
                </c:pt>
                <c:pt idx="44">
                  <c:v>0.34460000000000002</c:v>
                </c:pt>
                <c:pt idx="45">
                  <c:v>0.37030000000000002</c:v>
                </c:pt>
                <c:pt idx="46">
                  <c:v>0.39589999999999997</c:v>
                </c:pt>
                <c:pt idx="47">
                  <c:v>0.40060000000000001</c:v>
                </c:pt>
                <c:pt idx="48">
                  <c:v>0.3705</c:v>
                </c:pt>
                <c:pt idx="49">
                  <c:v>0.36220000000000002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A5-1743-8647-24A0D20AE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P6c!$A$6:$A$55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P6c!$D$6:$D$55</c:f>
              <c:numCache>
                <c:formatCode>0.00</c:formatCode>
                <c:ptCount val="50"/>
                <c:pt idx="0">
                  <c:v>40.99</c:v>
                </c:pt>
                <c:pt idx="1">
                  <c:v>55.42</c:v>
                </c:pt>
                <c:pt idx="2">
                  <c:v>61.74</c:v>
                </c:pt>
                <c:pt idx="3">
                  <c:v>65.790000000000006</c:v>
                </c:pt>
                <c:pt idx="4">
                  <c:v>68.790000000000006</c:v>
                </c:pt>
                <c:pt idx="5">
                  <c:v>71.510000000000005</c:v>
                </c:pt>
                <c:pt idx="6">
                  <c:v>73.010000000000005</c:v>
                </c:pt>
                <c:pt idx="7">
                  <c:v>74.540000000000006</c:v>
                </c:pt>
                <c:pt idx="8">
                  <c:v>75.569999999999993</c:v>
                </c:pt>
                <c:pt idx="9">
                  <c:v>76.760000000000005</c:v>
                </c:pt>
                <c:pt idx="10">
                  <c:v>77.66</c:v>
                </c:pt>
                <c:pt idx="11">
                  <c:v>78.33</c:v>
                </c:pt>
                <c:pt idx="12">
                  <c:v>79</c:v>
                </c:pt>
                <c:pt idx="13">
                  <c:v>79.709999999999994</c:v>
                </c:pt>
                <c:pt idx="14">
                  <c:v>80.34</c:v>
                </c:pt>
                <c:pt idx="15">
                  <c:v>80.64</c:v>
                </c:pt>
                <c:pt idx="16">
                  <c:v>81.03</c:v>
                </c:pt>
                <c:pt idx="17">
                  <c:v>81.72</c:v>
                </c:pt>
                <c:pt idx="18">
                  <c:v>82.22</c:v>
                </c:pt>
                <c:pt idx="19">
                  <c:v>82.51</c:v>
                </c:pt>
                <c:pt idx="20">
                  <c:v>82.56</c:v>
                </c:pt>
                <c:pt idx="21">
                  <c:v>83.24</c:v>
                </c:pt>
                <c:pt idx="22">
                  <c:v>83.22</c:v>
                </c:pt>
                <c:pt idx="23">
                  <c:v>83.8</c:v>
                </c:pt>
                <c:pt idx="24">
                  <c:v>84</c:v>
                </c:pt>
                <c:pt idx="25">
                  <c:v>84.22</c:v>
                </c:pt>
                <c:pt idx="26">
                  <c:v>84.65</c:v>
                </c:pt>
                <c:pt idx="27">
                  <c:v>84.76</c:v>
                </c:pt>
                <c:pt idx="28">
                  <c:v>85.1</c:v>
                </c:pt>
                <c:pt idx="29">
                  <c:v>85.4</c:v>
                </c:pt>
                <c:pt idx="30">
                  <c:v>85.5</c:v>
                </c:pt>
                <c:pt idx="31">
                  <c:v>85.77</c:v>
                </c:pt>
                <c:pt idx="32">
                  <c:v>85.98</c:v>
                </c:pt>
                <c:pt idx="33">
                  <c:v>86.04</c:v>
                </c:pt>
                <c:pt idx="34">
                  <c:v>86.48</c:v>
                </c:pt>
                <c:pt idx="35">
                  <c:v>86.71</c:v>
                </c:pt>
                <c:pt idx="36">
                  <c:v>86.56</c:v>
                </c:pt>
                <c:pt idx="37">
                  <c:v>86.82</c:v>
                </c:pt>
                <c:pt idx="38">
                  <c:v>87.07</c:v>
                </c:pt>
                <c:pt idx="39">
                  <c:v>87.29</c:v>
                </c:pt>
                <c:pt idx="40">
                  <c:v>87.59</c:v>
                </c:pt>
                <c:pt idx="41">
                  <c:v>87.41</c:v>
                </c:pt>
                <c:pt idx="42">
                  <c:v>87.62</c:v>
                </c:pt>
                <c:pt idx="43">
                  <c:v>87.77</c:v>
                </c:pt>
                <c:pt idx="44">
                  <c:v>88.11</c:v>
                </c:pt>
                <c:pt idx="45">
                  <c:v>88.06</c:v>
                </c:pt>
                <c:pt idx="46">
                  <c:v>88.38</c:v>
                </c:pt>
                <c:pt idx="47">
                  <c:v>88.26</c:v>
                </c:pt>
                <c:pt idx="48">
                  <c:v>88.39</c:v>
                </c:pt>
                <c:pt idx="49">
                  <c:v>88.52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4A-4446-9637-9E9875C49F7E}"/>
            </c:ext>
          </c:extLst>
        </c:ser>
        <c:ser>
          <c:idx val="1"/>
          <c:order val="1"/>
          <c:tx>
            <c:v>Val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P6c!$A$6:$A$55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P6c!$E$6:$E$55</c:f>
              <c:numCache>
                <c:formatCode>0.00</c:formatCode>
                <c:ptCount val="50"/>
                <c:pt idx="0">
                  <c:v>55.8</c:v>
                </c:pt>
                <c:pt idx="1">
                  <c:v>61.6</c:v>
                </c:pt>
                <c:pt idx="2">
                  <c:v>68.3</c:v>
                </c:pt>
                <c:pt idx="3">
                  <c:v>72</c:v>
                </c:pt>
                <c:pt idx="4">
                  <c:v>75.099999999999994</c:v>
                </c:pt>
                <c:pt idx="5">
                  <c:v>77.099999999999994</c:v>
                </c:pt>
                <c:pt idx="6">
                  <c:v>77.400000000000006</c:v>
                </c:pt>
                <c:pt idx="7">
                  <c:v>78.7</c:v>
                </c:pt>
                <c:pt idx="8">
                  <c:v>79.3</c:v>
                </c:pt>
                <c:pt idx="9">
                  <c:v>79.8</c:v>
                </c:pt>
                <c:pt idx="10">
                  <c:v>80.099999999999994</c:v>
                </c:pt>
                <c:pt idx="11">
                  <c:v>80.7</c:v>
                </c:pt>
                <c:pt idx="12">
                  <c:v>82.1</c:v>
                </c:pt>
                <c:pt idx="13">
                  <c:v>81.599999999999994</c:v>
                </c:pt>
                <c:pt idx="14">
                  <c:v>82.6</c:v>
                </c:pt>
                <c:pt idx="15">
                  <c:v>82</c:v>
                </c:pt>
                <c:pt idx="16">
                  <c:v>83.5</c:v>
                </c:pt>
                <c:pt idx="17">
                  <c:v>83.3</c:v>
                </c:pt>
                <c:pt idx="18">
                  <c:v>85</c:v>
                </c:pt>
                <c:pt idx="19">
                  <c:v>85.2</c:v>
                </c:pt>
                <c:pt idx="20">
                  <c:v>84.5</c:v>
                </c:pt>
                <c:pt idx="21">
                  <c:v>84.5</c:v>
                </c:pt>
                <c:pt idx="22">
                  <c:v>85.3</c:v>
                </c:pt>
                <c:pt idx="23">
                  <c:v>85.8</c:v>
                </c:pt>
                <c:pt idx="24">
                  <c:v>86.3</c:v>
                </c:pt>
                <c:pt idx="25">
                  <c:v>86.1</c:v>
                </c:pt>
                <c:pt idx="26">
                  <c:v>85.8</c:v>
                </c:pt>
                <c:pt idx="27">
                  <c:v>85.5</c:v>
                </c:pt>
                <c:pt idx="28">
                  <c:v>87.2</c:v>
                </c:pt>
                <c:pt idx="29">
                  <c:v>86.1</c:v>
                </c:pt>
                <c:pt idx="30">
                  <c:v>85.2</c:v>
                </c:pt>
                <c:pt idx="31">
                  <c:v>85.6</c:v>
                </c:pt>
                <c:pt idx="32">
                  <c:v>86.2</c:v>
                </c:pt>
                <c:pt idx="33">
                  <c:v>86.5</c:v>
                </c:pt>
                <c:pt idx="34">
                  <c:v>86.6</c:v>
                </c:pt>
                <c:pt idx="35">
                  <c:v>86.4</c:v>
                </c:pt>
                <c:pt idx="36">
                  <c:v>85.6</c:v>
                </c:pt>
                <c:pt idx="37">
                  <c:v>85</c:v>
                </c:pt>
                <c:pt idx="38">
                  <c:v>87.6</c:v>
                </c:pt>
                <c:pt idx="39">
                  <c:v>87.9</c:v>
                </c:pt>
                <c:pt idx="40">
                  <c:v>87.7</c:v>
                </c:pt>
                <c:pt idx="41">
                  <c:v>87</c:v>
                </c:pt>
                <c:pt idx="42">
                  <c:v>87.1</c:v>
                </c:pt>
                <c:pt idx="43">
                  <c:v>87.4</c:v>
                </c:pt>
                <c:pt idx="44">
                  <c:v>88.8</c:v>
                </c:pt>
                <c:pt idx="45">
                  <c:v>87.6</c:v>
                </c:pt>
                <c:pt idx="46">
                  <c:v>88.3</c:v>
                </c:pt>
                <c:pt idx="47">
                  <c:v>87.4</c:v>
                </c:pt>
                <c:pt idx="48">
                  <c:v>88</c:v>
                </c:pt>
                <c:pt idx="49">
                  <c:v>88.5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4A-4446-9637-9E9875C49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P6d!$A$6:$A$55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P6d!$B$6:$B$55</c:f>
              <c:numCache>
                <c:formatCode>0.0000</c:formatCode>
                <c:ptCount val="50"/>
                <c:pt idx="0">
                  <c:v>1.3781000000000001</c:v>
                </c:pt>
                <c:pt idx="1">
                  <c:v>1.0206</c:v>
                </c:pt>
                <c:pt idx="2">
                  <c:v>0.871</c:v>
                </c:pt>
                <c:pt idx="3">
                  <c:v>0.77239999999999998</c:v>
                </c:pt>
                <c:pt idx="4">
                  <c:v>0.71660000000000001</c:v>
                </c:pt>
                <c:pt idx="5">
                  <c:v>0.67030000000000001</c:v>
                </c:pt>
                <c:pt idx="6">
                  <c:v>0.63580000000000003</c:v>
                </c:pt>
                <c:pt idx="7">
                  <c:v>0.60119999999999996</c:v>
                </c:pt>
                <c:pt idx="8">
                  <c:v>0.57520000000000004</c:v>
                </c:pt>
                <c:pt idx="9">
                  <c:v>0.55049999999999999</c:v>
                </c:pt>
                <c:pt idx="10">
                  <c:v>0.53349999999999997</c:v>
                </c:pt>
                <c:pt idx="11">
                  <c:v>0.51280000000000003</c:v>
                </c:pt>
                <c:pt idx="12">
                  <c:v>0.49859999999999999</c:v>
                </c:pt>
                <c:pt idx="13">
                  <c:v>0.48230000000000001</c:v>
                </c:pt>
                <c:pt idx="14">
                  <c:v>0.4647</c:v>
                </c:pt>
                <c:pt idx="15">
                  <c:v>0.4572</c:v>
                </c:pt>
                <c:pt idx="16">
                  <c:v>0.44390000000000002</c:v>
                </c:pt>
                <c:pt idx="17">
                  <c:v>0.42730000000000001</c:v>
                </c:pt>
                <c:pt idx="18">
                  <c:v>0.41539999999999999</c:v>
                </c:pt>
                <c:pt idx="19">
                  <c:v>0.41110000000000002</c:v>
                </c:pt>
                <c:pt idx="20">
                  <c:v>0.39779999999999999</c:v>
                </c:pt>
                <c:pt idx="21">
                  <c:v>0.39129999999999998</c:v>
                </c:pt>
                <c:pt idx="22">
                  <c:v>0.38040000000000002</c:v>
                </c:pt>
                <c:pt idx="23">
                  <c:v>0.37490000000000001</c:v>
                </c:pt>
                <c:pt idx="24">
                  <c:v>0.3624</c:v>
                </c:pt>
                <c:pt idx="25">
                  <c:v>0.35649999999999998</c:v>
                </c:pt>
                <c:pt idx="26">
                  <c:v>0.35449999999999998</c:v>
                </c:pt>
                <c:pt idx="27">
                  <c:v>0.34160000000000001</c:v>
                </c:pt>
                <c:pt idx="28">
                  <c:v>0.34200000000000003</c:v>
                </c:pt>
                <c:pt idx="29">
                  <c:v>0.32529999999999998</c:v>
                </c:pt>
                <c:pt idx="30">
                  <c:v>0.32879999999999998</c:v>
                </c:pt>
                <c:pt idx="31">
                  <c:v>0.31919999999999998</c:v>
                </c:pt>
                <c:pt idx="32">
                  <c:v>0.31469999999999998</c:v>
                </c:pt>
                <c:pt idx="33">
                  <c:v>0.30809999999999998</c:v>
                </c:pt>
                <c:pt idx="34">
                  <c:v>0.3044</c:v>
                </c:pt>
                <c:pt idx="35">
                  <c:v>0.29849999999999999</c:v>
                </c:pt>
                <c:pt idx="36">
                  <c:v>0.29980000000000001</c:v>
                </c:pt>
                <c:pt idx="37">
                  <c:v>0.29020000000000001</c:v>
                </c:pt>
                <c:pt idx="38">
                  <c:v>0.28670000000000001</c:v>
                </c:pt>
                <c:pt idx="39">
                  <c:v>0.28310000000000002</c:v>
                </c:pt>
                <c:pt idx="40">
                  <c:v>0.27810000000000001</c:v>
                </c:pt>
                <c:pt idx="41">
                  <c:v>0.27210000000000001</c:v>
                </c:pt>
                <c:pt idx="42">
                  <c:v>0.26719999999999999</c:v>
                </c:pt>
                <c:pt idx="43">
                  <c:v>0.26529999999999998</c:v>
                </c:pt>
                <c:pt idx="44">
                  <c:v>0.26200000000000001</c:v>
                </c:pt>
                <c:pt idx="45">
                  <c:v>0.25740000000000002</c:v>
                </c:pt>
                <c:pt idx="46">
                  <c:v>0.25240000000000001</c:v>
                </c:pt>
                <c:pt idx="47">
                  <c:v>0.25159999999999999</c:v>
                </c:pt>
                <c:pt idx="48">
                  <c:v>0.25019999999999998</c:v>
                </c:pt>
                <c:pt idx="49">
                  <c:v>0.24410000000000001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A1-974D-AEFB-9076997894DC}"/>
            </c:ext>
          </c:extLst>
        </c:ser>
        <c:ser>
          <c:idx val="1"/>
          <c:order val="1"/>
          <c:tx>
            <c:v>Val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P6d!$A$6:$A$55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P6d!$C$6:$C$55</c:f>
              <c:numCache>
                <c:formatCode>0.0000</c:formatCode>
                <c:ptCount val="50"/>
                <c:pt idx="0">
                  <c:v>1.2716000000000001</c:v>
                </c:pt>
                <c:pt idx="1">
                  <c:v>1.0296000000000001</c:v>
                </c:pt>
                <c:pt idx="2">
                  <c:v>0.78349999999999997</c:v>
                </c:pt>
                <c:pt idx="3">
                  <c:v>0.65720000000000001</c:v>
                </c:pt>
                <c:pt idx="4">
                  <c:v>0.61270000000000002</c:v>
                </c:pt>
                <c:pt idx="5">
                  <c:v>0.62180000000000002</c:v>
                </c:pt>
                <c:pt idx="6">
                  <c:v>0.56169999999999998</c:v>
                </c:pt>
                <c:pt idx="7">
                  <c:v>0.5484</c:v>
                </c:pt>
                <c:pt idx="8">
                  <c:v>0.51739999999999997</c:v>
                </c:pt>
                <c:pt idx="9">
                  <c:v>0.54379999999999995</c:v>
                </c:pt>
                <c:pt idx="10">
                  <c:v>0.4698</c:v>
                </c:pt>
                <c:pt idx="11">
                  <c:v>0.46079999999999999</c:v>
                </c:pt>
                <c:pt idx="12">
                  <c:v>0.442</c:v>
                </c:pt>
                <c:pt idx="13">
                  <c:v>0.44400000000000001</c:v>
                </c:pt>
                <c:pt idx="14">
                  <c:v>0.44929999999999998</c:v>
                </c:pt>
                <c:pt idx="15">
                  <c:v>0.44069999999999998</c:v>
                </c:pt>
                <c:pt idx="16">
                  <c:v>0.46150000000000002</c:v>
                </c:pt>
                <c:pt idx="17">
                  <c:v>0.43790000000000001</c:v>
                </c:pt>
                <c:pt idx="18">
                  <c:v>0.3972</c:v>
                </c:pt>
                <c:pt idx="19">
                  <c:v>0.4279</c:v>
                </c:pt>
                <c:pt idx="20">
                  <c:v>0.4108</c:v>
                </c:pt>
                <c:pt idx="21">
                  <c:v>0.36730000000000002</c:v>
                </c:pt>
                <c:pt idx="22">
                  <c:v>0.40279999999999999</c:v>
                </c:pt>
                <c:pt idx="23">
                  <c:v>0.39079999999999998</c:v>
                </c:pt>
                <c:pt idx="24">
                  <c:v>0.42270000000000002</c:v>
                </c:pt>
                <c:pt idx="25">
                  <c:v>0.39629999999999999</c:v>
                </c:pt>
                <c:pt idx="26">
                  <c:v>0.40860000000000002</c:v>
                </c:pt>
                <c:pt idx="27">
                  <c:v>0.44940000000000002</c:v>
                </c:pt>
                <c:pt idx="28">
                  <c:v>0.35539999999999999</c:v>
                </c:pt>
                <c:pt idx="29">
                  <c:v>0.41299999999999998</c:v>
                </c:pt>
                <c:pt idx="30">
                  <c:v>0.38119999999999998</c:v>
                </c:pt>
                <c:pt idx="31">
                  <c:v>0.39800000000000002</c:v>
                </c:pt>
                <c:pt idx="32">
                  <c:v>0.36599999999999999</c:v>
                </c:pt>
                <c:pt idx="33">
                  <c:v>0.36880000000000002</c:v>
                </c:pt>
                <c:pt idx="34">
                  <c:v>0.34100000000000003</c:v>
                </c:pt>
                <c:pt idx="35">
                  <c:v>0.38190000000000002</c:v>
                </c:pt>
                <c:pt idx="36">
                  <c:v>0.39889999999999998</c:v>
                </c:pt>
                <c:pt idx="37">
                  <c:v>0.33229999999999998</c:v>
                </c:pt>
                <c:pt idx="38">
                  <c:v>0.33739999999999998</c:v>
                </c:pt>
                <c:pt idx="39">
                  <c:v>0.32990000000000003</c:v>
                </c:pt>
                <c:pt idx="40">
                  <c:v>0.35010000000000002</c:v>
                </c:pt>
                <c:pt idx="41">
                  <c:v>0.3513</c:v>
                </c:pt>
                <c:pt idx="42">
                  <c:v>0.36080000000000001</c:v>
                </c:pt>
                <c:pt idx="43">
                  <c:v>0.35389999999999999</c:v>
                </c:pt>
                <c:pt idx="44">
                  <c:v>0.37519999999999998</c:v>
                </c:pt>
                <c:pt idx="45">
                  <c:v>0.33610000000000001</c:v>
                </c:pt>
                <c:pt idx="46">
                  <c:v>0.34899999999999998</c:v>
                </c:pt>
                <c:pt idx="47">
                  <c:v>0.3659</c:v>
                </c:pt>
                <c:pt idx="48">
                  <c:v>0.35289999999999999</c:v>
                </c:pt>
                <c:pt idx="49">
                  <c:v>0.36080000000000001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A1-974D-AEFB-907699789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P6d!$A$6:$A$55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P6d!$D$6:$D$55</c:f>
              <c:numCache>
                <c:formatCode>0.00</c:formatCode>
                <c:ptCount val="50"/>
                <c:pt idx="0">
                  <c:v>49.36</c:v>
                </c:pt>
                <c:pt idx="1">
                  <c:v>63.48</c:v>
                </c:pt>
                <c:pt idx="2">
                  <c:v>69.150000000000006</c:v>
                </c:pt>
                <c:pt idx="3">
                  <c:v>72.75</c:v>
                </c:pt>
                <c:pt idx="4">
                  <c:v>74.760000000000005</c:v>
                </c:pt>
                <c:pt idx="5">
                  <c:v>76.52</c:v>
                </c:pt>
                <c:pt idx="6">
                  <c:v>77.760000000000005</c:v>
                </c:pt>
                <c:pt idx="7">
                  <c:v>78.86</c:v>
                </c:pt>
                <c:pt idx="8">
                  <c:v>79.91</c:v>
                </c:pt>
                <c:pt idx="9">
                  <c:v>80.66</c:v>
                </c:pt>
                <c:pt idx="10">
                  <c:v>81.260000000000005</c:v>
                </c:pt>
                <c:pt idx="11">
                  <c:v>82.01</c:v>
                </c:pt>
                <c:pt idx="12">
                  <c:v>82.54</c:v>
                </c:pt>
                <c:pt idx="13">
                  <c:v>83.23</c:v>
                </c:pt>
                <c:pt idx="14">
                  <c:v>83.81</c:v>
                </c:pt>
                <c:pt idx="15">
                  <c:v>84.13</c:v>
                </c:pt>
                <c:pt idx="16">
                  <c:v>84.48</c:v>
                </c:pt>
                <c:pt idx="17">
                  <c:v>85.02</c:v>
                </c:pt>
                <c:pt idx="18">
                  <c:v>85.48</c:v>
                </c:pt>
                <c:pt idx="19">
                  <c:v>85.5</c:v>
                </c:pt>
                <c:pt idx="20">
                  <c:v>86.2</c:v>
                </c:pt>
                <c:pt idx="21">
                  <c:v>86.44</c:v>
                </c:pt>
                <c:pt idx="22">
                  <c:v>86.58</c:v>
                </c:pt>
                <c:pt idx="23">
                  <c:v>86.61</c:v>
                </c:pt>
                <c:pt idx="24">
                  <c:v>87.28</c:v>
                </c:pt>
                <c:pt idx="25">
                  <c:v>87.46</c:v>
                </c:pt>
                <c:pt idx="26">
                  <c:v>87.64</c:v>
                </c:pt>
                <c:pt idx="27">
                  <c:v>87.83</c:v>
                </c:pt>
                <c:pt idx="28">
                  <c:v>87.94</c:v>
                </c:pt>
                <c:pt idx="29">
                  <c:v>88.48</c:v>
                </c:pt>
                <c:pt idx="30">
                  <c:v>88.25</c:v>
                </c:pt>
                <c:pt idx="31">
                  <c:v>88.69</c:v>
                </c:pt>
                <c:pt idx="32">
                  <c:v>88.84</c:v>
                </c:pt>
                <c:pt idx="33">
                  <c:v>88.97</c:v>
                </c:pt>
                <c:pt idx="34">
                  <c:v>89.09</c:v>
                </c:pt>
                <c:pt idx="35">
                  <c:v>89.31</c:v>
                </c:pt>
                <c:pt idx="36">
                  <c:v>89.38</c:v>
                </c:pt>
                <c:pt idx="37">
                  <c:v>89.61</c:v>
                </c:pt>
                <c:pt idx="38">
                  <c:v>89.84</c:v>
                </c:pt>
                <c:pt idx="39">
                  <c:v>89.92</c:v>
                </c:pt>
                <c:pt idx="40">
                  <c:v>90.05</c:v>
                </c:pt>
                <c:pt idx="41">
                  <c:v>90.26</c:v>
                </c:pt>
                <c:pt idx="42">
                  <c:v>90.26</c:v>
                </c:pt>
                <c:pt idx="43">
                  <c:v>90.43</c:v>
                </c:pt>
                <c:pt idx="44">
                  <c:v>90.68</c:v>
                </c:pt>
                <c:pt idx="45">
                  <c:v>90.88</c:v>
                </c:pt>
                <c:pt idx="46">
                  <c:v>90.98</c:v>
                </c:pt>
                <c:pt idx="47">
                  <c:v>90.99</c:v>
                </c:pt>
                <c:pt idx="48">
                  <c:v>90.98</c:v>
                </c:pt>
                <c:pt idx="49">
                  <c:v>91.23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D3-484A-AA2C-DEB3DA039EE8}"/>
            </c:ext>
          </c:extLst>
        </c:ser>
        <c:ser>
          <c:idx val="1"/>
          <c:order val="1"/>
          <c:tx>
            <c:v>Val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P6d!$A$6:$A$55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P6d!$E$6:$E$55</c:f>
              <c:numCache>
                <c:formatCode>0.00</c:formatCode>
                <c:ptCount val="50"/>
                <c:pt idx="0">
                  <c:v>55.7</c:v>
                </c:pt>
                <c:pt idx="1">
                  <c:v>65</c:v>
                </c:pt>
                <c:pt idx="2">
                  <c:v>74.3</c:v>
                </c:pt>
                <c:pt idx="3">
                  <c:v>76.400000000000006</c:v>
                </c:pt>
                <c:pt idx="4">
                  <c:v>80.5</c:v>
                </c:pt>
                <c:pt idx="5">
                  <c:v>78.7</c:v>
                </c:pt>
                <c:pt idx="6">
                  <c:v>81.7</c:v>
                </c:pt>
                <c:pt idx="7">
                  <c:v>81</c:v>
                </c:pt>
                <c:pt idx="8">
                  <c:v>82.1</c:v>
                </c:pt>
                <c:pt idx="9">
                  <c:v>80.8</c:v>
                </c:pt>
                <c:pt idx="10">
                  <c:v>84.9</c:v>
                </c:pt>
                <c:pt idx="11">
                  <c:v>83.1</c:v>
                </c:pt>
                <c:pt idx="12">
                  <c:v>84.7</c:v>
                </c:pt>
                <c:pt idx="13">
                  <c:v>86.3</c:v>
                </c:pt>
                <c:pt idx="14">
                  <c:v>83.7</c:v>
                </c:pt>
                <c:pt idx="15">
                  <c:v>85.8</c:v>
                </c:pt>
                <c:pt idx="16">
                  <c:v>84.6</c:v>
                </c:pt>
                <c:pt idx="17">
                  <c:v>84.6</c:v>
                </c:pt>
                <c:pt idx="18">
                  <c:v>86.5</c:v>
                </c:pt>
                <c:pt idx="19">
                  <c:v>85.7</c:v>
                </c:pt>
                <c:pt idx="20">
                  <c:v>86.1</c:v>
                </c:pt>
                <c:pt idx="21">
                  <c:v>87.4</c:v>
                </c:pt>
                <c:pt idx="22">
                  <c:v>86.5</c:v>
                </c:pt>
                <c:pt idx="23">
                  <c:v>86.6</c:v>
                </c:pt>
                <c:pt idx="24">
                  <c:v>86.1</c:v>
                </c:pt>
                <c:pt idx="25">
                  <c:v>87.1</c:v>
                </c:pt>
                <c:pt idx="26">
                  <c:v>85.3</c:v>
                </c:pt>
                <c:pt idx="27">
                  <c:v>85.8</c:v>
                </c:pt>
                <c:pt idx="28">
                  <c:v>88.2</c:v>
                </c:pt>
                <c:pt idx="29">
                  <c:v>86.8</c:v>
                </c:pt>
                <c:pt idx="30">
                  <c:v>87.5</c:v>
                </c:pt>
                <c:pt idx="31">
                  <c:v>87.9</c:v>
                </c:pt>
                <c:pt idx="32">
                  <c:v>88.4</c:v>
                </c:pt>
                <c:pt idx="33">
                  <c:v>87.6</c:v>
                </c:pt>
                <c:pt idx="34">
                  <c:v>89</c:v>
                </c:pt>
                <c:pt idx="35">
                  <c:v>87.4</c:v>
                </c:pt>
                <c:pt idx="36">
                  <c:v>87.6</c:v>
                </c:pt>
                <c:pt idx="37">
                  <c:v>89.6</c:v>
                </c:pt>
                <c:pt idx="38">
                  <c:v>88.2</c:v>
                </c:pt>
                <c:pt idx="39">
                  <c:v>89.8</c:v>
                </c:pt>
                <c:pt idx="40">
                  <c:v>88.3</c:v>
                </c:pt>
                <c:pt idx="41">
                  <c:v>89</c:v>
                </c:pt>
                <c:pt idx="42">
                  <c:v>89.2</c:v>
                </c:pt>
                <c:pt idx="43">
                  <c:v>89.3</c:v>
                </c:pt>
                <c:pt idx="44">
                  <c:v>88.1</c:v>
                </c:pt>
                <c:pt idx="45">
                  <c:v>90.1</c:v>
                </c:pt>
                <c:pt idx="46">
                  <c:v>89.6</c:v>
                </c:pt>
                <c:pt idx="47">
                  <c:v>89.2</c:v>
                </c:pt>
                <c:pt idx="48">
                  <c:v>88.3</c:v>
                </c:pt>
                <c:pt idx="49">
                  <c:v>89.5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D3-484A-AA2C-DEB3DA039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rPr lang="en-GB"/>
              <a:t>Baseline</a:t>
            </a:r>
            <a:r>
              <a:rPr lang="en-GB" baseline="0"/>
              <a:t> </a:t>
            </a:r>
            <a:r>
              <a:rPr lang="en-GB"/>
              <a:t>VGG: accuracy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Graphs!$A$5:$A$29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Graphs!$B$5:$B$29</c:f>
              <c:numCache>
                <c:formatCode>0.0</c:formatCode>
                <c:ptCount val="25"/>
                <c:pt idx="0">
                  <c:v>35.72</c:v>
                </c:pt>
                <c:pt idx="1">
                  <c:v>54.33</c:v>
                </c:pt>
                <c:pt idx="2">
                  <c:v>63.66</c:v>
                </c:pt>
                <c:pt idx="3">
                  <c:v>69.19</c:v>
                </c:pt>
                <c:pt idx="4">
                  <c:v>73.66</c:v>
                </c:pt>
                <c:pt idx="5">
                  <c:v>77.59</c:v>
                </c:pt>
                <c:pt idx="6">
                  <c:v>80.91</c:v>
                </c:pt>
                <c:pt idx="7">
                  <c:v>84.17</c:v>
                </c:pt>
                <c:pt idx="8">
                  <c:v>86.22</c:v>
                </c:pt>
                <c:pt idx="9">
                  <c:v>89.55</c:v>
                </c:pt>
                <c:pt idx="10">
                  <c:v>91.13</c:v>
                </c:pt>
                <c:pt idx="11">
                  <c:v>93.09</c:v>
                </c:pt>
                <c:pt idx="12">
                  <c:v>94</c:v>
                </c:pt>
                <c:pt idx="13">
                  <c:v>94.64</c:v>
                </c:pt>
                <c:pt idx="14">
                  <c:v>95.54</c:v>
                </c:pt>
                <c:pt idx="15">
                  <c:v>96.02</c:v>
                </c:pt>
                <c:pt idx="16">
                  <c:v>96.22</c:v>
                </c:pt>
                <c:pt idx="17">
                  <c:v>96.74</c:v>
                </c:pt>
                <c:pt idx="18">
                  <c:v>96.67</c:v>
                </c:pt>
                <c:pt idx="19">
                  <c:v>97.17</c:v>
                </c:pt>
                <c:pt idx="20">
                  <c:v>97.37</c:v>
                </c:pt>
                <c:pt idx="21">
                  <c:v>97.12</c:v>
                </c:pt>
                <c:pt idx="22">
                  <c:v>97.15</c:v>
                </c:pt>
                <c:pt idx="23">
                  <c:v>97.28</c:v>
                </c:pt>
                <c:pt idx="24">
                  <c:v>97.37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D3-C64E-9378-C6C5D793C3FB}"/>
            </c:ext>
          </c:extLst>
        </c:ser>
        <c:ser>
          <c:idx val="1"/>
          <c:order val="1"/>
          <c:tx>
            <c:v>Val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Graphs!$A$5:$A$29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Graphs!$C$5:$C$29</c:f>
              <c:numCache>
                <c:formatCode>0.0</c:formatCode>
                <c:ptCount val="25"/>
                <c:pt idx="0">
                  <c:v>48.5</c:v>
                </c:pt>
                <c:pt idx="1">
                  <c:v>59.5</c:v>
                </c:pt>
                <c:pt idx="2">
                  <c:v>66.5</c:v>
                </c:pt>
                <c:pt idx="3">
                  <c:v>68.2</c:v>
                </c:pt>
                <c:pt idx="4">
                  <c:v>69.8</c:v>
                </c:pt>
                <c:pt idx="5">
                  <c:v>72.599999999999994</c:v>
                </c:pt>
                <c:pt idx="6">
                  <c:v>72.900000000000006</c:v>
                </c:pt>
                <c:pt idx="7">
                  <c:v>74.400000000000006</c:v>
                </c:pt>
                <c:pt idx="8">
                  <c:v>76</c:v>
                </c:pt>
                <c:pt idx="9">
                  <c:v>75.7</c:v>
                </c:pt>
                <c:pt idx="10">
                  <c:v>73.900000000000006</c:v>
                </c:pt>
                <c:pt idx="11">
                  <c:v>74.8</c:v>
                </c:pt>
                <c:pt idx="12">
                  <c:v>74.400000000000006</c:v>
                </c:pt>
                <c:pt idx="13">
                  <c:v>73.599999999999994</c:v>
                </c:pt>
                <c:pt idx="14">
                  <c:v>74.900000000000006</c:v>
                </c:pt>
                <c:pt idx="15">
                  <c:v>74.3</c:v>
                </c:pt>
                <c:pt idx="16">
                  <c:v>75.5</c:v>
                </c:pt>
                <c:pt idx="17">
                  <c:v>73.8</c:v>
                </c:pt>
                <c:pt idx="18">
                  <c:v>74.099999999999994</c:v>
                </c:pt>
                <c:pt idx="19">
                  <c:v>74.599999999999994</c:v>
                </c:pt>
                <c:pt idx="20">
                  <c:v>75.2</c:v>
                </c:pt>
                <c:pt idx="21">
                  <c:v>73.8</c:v>
                </c:pt>
                <c:pt idx="22">
                  <c:v>73.8</c:v>
                </c:pt>
                <c:pt idx="23">
                  <c:v>74</c:v>
                </c:pt>
                <c:pt idx="24">
                  <c:v>73.7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D3-C64E-9378-C6C5D793C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Epoch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Accuracy (%)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rPr lang="en-GB"/>
              <a:t>Regularisation comparison: accuracy and training time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327484064491939E-2"/>
          <c:y val="0.1545549988069673"/>
          <c:w val="0.86124896887889013"/>
          <c:h val="0.66088672154617034"/>
        </c:manualLayout>
      </c:layout>
      <c:barChart>
        <c:barDir val="col"/>
        <c:grouping val="clustered"/>
        <c:varyColors val="0"/>
        <c:ser>
          <c:idx val="0"/>
          <c:order val="0"/>
          <c:tx>
            <c:v>Best Val Acc (%)</c:v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Graphs!$A$35:$A$39</c:f>
              <c:strCache>
                <c:ptCount val="5"/>
                <c:pt idx="0">
                  <c:v>Raw VGG</c:v>
                </c:pt>
                <c:pt idx="1">
                  <c:v>Dropout</c:v>
                </c:pt>
                <c:pt idx="2">
                  <c:v>Weight decay</c:v>
                </c:pt>
                <c:pt idx="3">
                  <c:v>Augmentation</c:v>
                </c:pt>
                <c:pt idx="4">
                  <c:v>Combined</c:v>
                </c:pt>
              </c:strCache>
            </c:strRef>
          </c:cat>
          <c:val>
            <c:numRef>
              <c:f>Graphs!$B$35:$B$39</c:f>
              <c:numCache>
                <c:formatCode>0.0</c:formatCode>
                <c:ptCount val="5"/>
                <c:pt idx="0">
                  <c:v>76</c:v>
                </c:pt>
                <c:pt idx="1">
                  <c:v>85.3</c:v>
                </c:pt>
                <c:pt idx="2">
                  <c:v>82.9</c:v>
                </c:pt>
                <c:pt idx="3">
                  <c:v>88.4</c:v>
                </c:pt>
                <c:pt idx="4">
                  <c:v>89.7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E-3D4A-B50D-D8CD66F4DE9A}"/>
            </c:ext>
          </c:extLst>
        </c:ser>
        <c:ser>
          <c:idx val="1"/>
          <c:order val="1"/>
          <c:tx>
            <c:strRef>
              <c:f>Graphs!$C$34</c:f>
              <c:strCache>
                <c:ptCount val="1"/>
                <c:pt idx="0">
                  <c:v>Training Time (min)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Graphs!$A$35:$A$39</c:f>
              <c:strCache>
                <c:ptCount val="5"/>
                <c:pt idx="0">
                  <c:v>Raw VGG</c:v>
                </c:pt>
                <c:pt idx="1">
                  <c:v>Dropout</c:v>
                </c:pt>
                <c:pt idx="2">
                  <c:v>Weight decay</c:v>
                </c:pt>
                <c:pt idx="3">
                  <c:v>Augmentation</c:v>
                </c:pt>
                <c:pt idx="4">
                  <c:v>Combined</c:v>
                </c:pt>
              </c:strCache>
            </c:strRef>
          </c:cat>
          <c:val>
            <c:numRef>
              <c:f>Graphs!$C$35:$C$39</c:f>
              <c:numCache>
                <c:formatCode>0.0</c:formatCode>
                <c:ptCount val="5"/>
                <c:pt idx="0">
                  <c:v>20.62</c:v>
                </c:pt>
                <c:pt idx="1">
                  <c:v>13.77</c:v>
                </c:pt>
                <c:pt idx="2">
                  <c:v>25.98</c:v>
                </c:pt>
                <c:pt idx="3">
                  <c:v>36.08</c:v>
                </c:pt>
                <c:pt idx="4">
                  <c:v>84.13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4E-3D4A-B50D-D8CD66F4DE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48650112"/>
        <c:axId val="48672768"/>
      </c:barChart>
      <c:lineChart>
        <c:grouping val="standard"/>
        <c:varyColors val="1"/>
        <c:ser>
          <c:idx val="2"/>
          <c:order val="2"/>
          <c:tx>
            <c:strRef>
              <c:f>Graphs!$C$34</c:f>
              <c:strCache>
                <c:ptCount val="1"/>
                <c:pt idx="0">
                  <c:v>Training Time (min)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Graphs!$A$35:$A$39</c:f>
              <c:strCache>
                <c:ptCount val="5"/>
                <c:pt idx="0">
                  <c:v>Raw VGG</c:v>
                </c:pt>
                <c:pt idx="1">
                  <c:v>Dropout</c:v>
                </c:pt>
                <c:pt idx="2">
                  <c:v>Weight decay</c:v>
                </c:pt>
                <c:pt idx="3">
                  <c:v>Augmentation</c:v>
                </c:pt>
                <c:pt idx="4">
                  <c:v>Combined</c:v>
                </c:pt>
              </c:strCache>
            </c:strRef>
          </c:cat>
          <c:val>
            <c:numRef>
              <c:f>Graphs!$C$35:$C$39</c:f>
              <c:numCache>
                <c:formatCode>0.0</c:formatCode>
                <c:ptCount val="5"/>
                <c:pt idx="0">
                  <c:v>20.62</c:v>
                </c:pt>
                <c:pt idx="1">
                  <c:v>13.77</c:v>
                </c:pt>
                <c:pt idx="2">
                  <c:v>25.98</c:v>
                </c:pt>
                <c:pt idx="3">
                  <c:v>36.08</c:v>
                </c:pt>
                <c:pt idx="4">
                  <c:v>84.13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E4E-3D4A-B50D-D8CD66F4D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787264"/>
        <c:axId val="435016064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SE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Best validation accuracy (%)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48650112"/>
        <c:crosses val="autoZero"/>
        <c:crossBetween val="between"/>
      </c:valAx>
      <c:valAx>
        <c:axId val="435016064"/>
        <c:scaling>
          <c:orientation val="minMax"/>
          <c:max val="1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GB" sz="1000" b="1" i="0" u="none" strike="noStrike" kern="1200" baseline="0">
                    <a:solidFill>
                      <a:sysClr val="windowText" lastClr="000000"/>
                    </a:solidFill>
                  </a:rPr>
                  <a:t>Training Time (min)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440787264"/>
        <c:crosses val="max"/>
        <c:crossBetween val="between"/>
      </c:valAx>
      <c:catAx>
        <c:axId val="440787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5016064"/>
        <c:auto val="1"/>
        <c:lblAlgn val="ctr"/>
        <c:lblOffset val="100"/>
        <c:noMultiLvlLbl val="0"/>
      </c:catAx>
    </c:plotArea>
    <c:legend>
      <c:legendPos val="b"/>
      <c:legendEntry>
        <c:idx val="2"/>
        <c:delete val="1"/>
      </c:legendEntry>
      <c:overlay val="1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rPr lang="en-GB"/>
              <a:t>Extension comparison: accuracy and training time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327484064491939E-2"/>
          <c:y val="0.1545549988069673"/>
          <c:w val="0.86124896887889013"/>
          <c:h val="0.66088672154617034"/>
        </c:manualLayout>
      </c:layout>
      <c:barChart>
        <c:barDir val="col"/>
        <c:grouping val="clustered"/>
        <c:varyColors val="0"/>
        <c:ser>
          <c:idx val="0"/>
          <c:order val="0"/>
          <c:tx>
            <c:v>Best Val Acc (%)</c:v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Graphs!$A$46:$A$50</c:f>
              <c:strCache>
                <c:ptCount val="5"/>
                <c:pt idx="0">
                  <c:v>Combined</c:v>
                </c:pt>
                <c:pt idx="1">
                  <c:v>Advanced augmentation</c:v>
                </c:pt>
                <c:pt idx="2">
                  <c:v>Learning-rate scheduler</c:v>
                </c:pt>
                <c:pt idx="3">
                  <c:v>Downsampling</c:v>
                </c:pt>
                <c:pt idx="4">
                  <c:v>Global average pooling</c:v>
                </c:pt>
              </c:strCache>
            </c:strRef>
          </c:cat>
          <c:val>
            <c:numRef>
              <c:f>Graphs!$B$46:$B$50</c:f>
              <c:numCache>
                <c:formatCode>0.0</c:formatCode>
                <c:ptCount val="5"/>
                <c:pt idx="0">
                  <c:v>89.7</c:v>
                </c:pt>
                <c:pt idx="1">
                  <c:v>89</c:v>
                </c:pt>
                <c:pt idx="2">
                  <c:v>90.4</c:v>
                </c:pt>
                <c:pt idx="3">
                  <c:v>88.8</c:v>
                </c:pt>
                <c:pt idx="4">
                  <c:v>90.1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C-2945-AB12-200F05B6BBC2}"/>
            </c:ext>
          </c:extLst>
        </c:ser>
        <c:ser>
          <c:idx val="1"/>
          <c:order val="1"/>
          <c:tx>
            <c:strRef>
              <c:f>Graphs!$C$45</c:f>
              <c:strCache>
                <c:ptCount val="1"/>
                <c:pt idx="0">
                  <c:v>Training Time (min)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Graphs!$A$46:$A$50</c:f>
              <c:strCache>
                <c:ptCount val="5"/>
                <c:pt idx="0">
                  <c:v>Combined</c:v>
                </c:pt>
                <c:pt idx="1">
                  <c:v>Advanced augmentation</c:v>
                </c:pt>
                <c:pt idx="2">
                  <c:v>Learning-rate scheduler</c:v>
                </c:pt>
                <c:pt idx="3">
                  <c:v>Downsampling</c:v>
                </c:pt>
                <c:pt idx="4">
                  <c:v>Global average pooling</c:v>
                </c:pt>
              </c:strCache>
            </c:strRef>
          </c:cat>
          <c:val>
            <c:numRef>
              <c:f>Graphs!$C$46:$C$50</c:f>
              <c:numCache>
                <c:formatCode>0.0</c:formatCode>
                <c:ptCount val="5"/>
                <c:pt idx="0">
                  <c:v>84.13</c:v>
                </c:pt>
                <c:pt idx="1">
                  <c:v>18.88</c:v>
                </c:pt>
                <c:pt idx="2">
                  <c:v>47.55</c:v>
                </c:pt>
                <c:pt idx="3">
                  <c:v>36.45</c:v>
                </c:pt>
                <c:pt idx="4">
                  <c:v>22.9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4E-3D4A-B50D-D8CD66F4DE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48650112"/>
        <c:axId val="48672768"/>
      </c:barChart>
      <c:lineChart>
        <c:grouping val="standard"/>
        <c:varyColors val="1"/>
        <c:ser>
          <c:idx val="2"/>
          <c:order val="2"/>
          <c:tx>
            <c:strRef>
              <c:f>Graphs!$C$45</c:f>
              <c:strCache>
                <c:ptCount val="1"/>
                <c:pt idx="0">
                  <c:v>Training Time (min)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Graphs!$A$46:$A$50</c:f>
              <c:strCache>
                <c:ptCount val="5"/>
                <c:pt idx="0">
                  <c:v>Combined</c:v>
                </c:pt>
                <c:pt idx="1">
                  <c:v>Advanced augmentation</c:v>
                </c:pt>
                <c:pt idx="2">
                  <c:v>Learning-rate scheduler</c:v>
                </c:pt>
                <c:pt idx="3">
                  <c:v>Downsampling</c:v>
                </c:pt>
                <c:pt idx="4">
                  <c:v>Global average pooling</c:v>
                </c:pt>
              </c:strCache>
            </c:strRef>
          </c:cat>
          <c:val>
            <c:numRef>
              <c:f>Graphs!$C$46:$C$50</c:f>
              <c:numCache>
                <c:formatCode>0.0</c:formatCode>
                <c:ptCount val="5"/>
                <c:pt idx="0">
                  <c:v>84.13</c:v>
                </c:pt>
                <c:pt idx="1">
                  <c:v>18.88</c:v>
                </c:pt>
                <c:pt idx="2">
                  <c:v>47.55</c:v>
                </c:pt>
                <c:pt idx="3">
                  <c:v>36.450000000000003</c:v>
                </c:pt>
                <c:pt idx="4">
                  <c:v>22.9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96C-2945-AB12-200F05B6B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261056"/>
        <c:axId val="416194880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SE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Best validation accuracy (%)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48650112"/>
        <c:crosses val="autoZero"/>
        <c:crossBetween val="between"/>
      </c:valAx>
      <c:valAx>
        <c:axId val="416194880"/>
        <c:scaling>
          <c:orientation val="minMax"/>
          <c:max val="1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GB" sz="1000" b="1" i="0" u="none" strike="noStrike" kern="1200" baseline="0">
                    <a:solidFill>
                      <a:sysClr val="windowText" lastClr="000000"/>
                    </a:solidFill>
                  </a:rPr>
                  <a:t>Training Time (min)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58261056"/>
        <c:crosses val="max"/>
        <c:crossBetween val="between"/>
      </c:valAx>
      <c:catAx>
        <c:axId val="3582610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6194880"/>
        <c:auto val="1"/>
        <c:lblAlgn val="ctr"/>
        <c:lblOffset val="100"/>
        <c:noMultiLvlLbl val="0"/>
      </c:catAx>
    </c:plotArea>
    <c:legend>
      <c:legendPos val="b"/>
      <c:legendEntry>
        <c:idx val="2"/>
        <c:delete val="1"/>
      </c:legendEntry>
      <c:overlay val="1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rPr lang="en-GB"/>
              <a:t>Learning-rate scheduler:</a:t>
            </a:r>
            <a:r>
              <a:rPr lang="en-GB" baseline="0"/>
              <a:t> </a:t>
            </a:r>
            <a:r>
              <a:rPr lang="en-GB"/>
              <a:t>accuracy curve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Graphs!$A$57:$A$106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Graphs!$B$57:$B$106</c:f>
              <c:numCache>
                <c:formatCode>0.0</c:formatCode>
                <c:ptCount val="50"/>
                <c:pt idx="0">
                  <c:v>40.71</c:v>
                </c:pt>
                <c:pt idx="1">
                  <c:v>55.82</c:v>
                </c:pt>
                <c:pt idx="2">
                  <c:v>63.3</c:v>
                </c:pt>
                <c:pt idx="3">
                  <c:v>68.709999999999994</c:v>
                </c:pt>
                <c:pt idx="4">
                  <c:v>72.05</c:v>
                </c:pt>
                <c:pt idx="5">
                  <c:v>75.05</c:v>
                </c:pt>
                <c:pt idx="6">
                  <c:v>77.31</c:v>
                </c:pt>
                <c:pt idx="7">
                  <c:v>79.06</c:v>
                </c:pt>
                <c:pt idx="8">
                  <c:v>80.31</c:v>
                </c:pt>
                <c:pt idx="9">
                  <c:v>80.91</c:v>
                </c:pt>
                <c:pt idx="10">
                  <c:v>74.31</c:v>
                </c:pt>
                <c:pt idx="11">
                  <c:v>76.239999999999995</c:v>
                </c:pt>
                <c:pt idx="12">
                  <c:v>77.959999999999994</c:v>
                </c:pt>
                <c:pt idx="13">
                  <c:v>79.47</c:v>
                </c:pt>
                <c:pt idx="14">
                  <c:v>81.290000000000006</c:v>
                </c:pt>
                <c:pt idx="15">
                  <c:v>82.64</c:v>
                </c:pt>
                <c:pt idx="16">
                  <c:v>84.11</c:v>
                </c:pt>
                <c:pt idx="17">
                  <c:v>85.04</c:v>
                </c:pt>
                <c:pt idx="18">
                  <c:v>85.72</c:v>
                </c:pt>
                <c:pt idx="19">
                  <c:v>86.21</c:v>
                </c:pt>
                <c:pt idx="20">
                  <c:v>80.319999999999993</c:v>
                </c:pt>
                <c:pt idx="21">
                  <c:v>81.3</c:v>
                </c:pt>
                <c:pt idx="22">
                  <c:v>82.38</c:v>
                </c:pt>
                <c:pt idx="23">
                  <c:v>83.36</c:v>
                </c:pt>
                <c:pt idx="24">
                  <c:v>84.54</c:v>
                </c:pt>
                <c:pt idx="25">
                  <c:v>85.53</c:v>
                </c:pt>
                <c:pt idx="26">
                  <c:v>86.78</c:v>
                </c:pt>
                <c:pt idx="27">
                  <c:v>87.52</c:v>
                </c:pt>
                <c:pt idx="28">
                  <c:v>88.26</c:v>
                </c:pt>
                <c:pt idx="29">
                  <c:v>88.49</c:v>
                </c:pt>
                <c:pt idx="30">
                  <c:v>83.56</c:v>
                </c:pt>
                <c:pt idx="31">
                  <c:v>84.06</c:v>
                </c:pt>
                <c:pt idx="32">
                  <c:v>84.51</c:v>
                </c:pt>
                <c:pt idx="33">
                  <c:v>85.64</c:v>
                </c:pt>
                <c:pt idx="34">
                  <c:v>86.71</c:v>
                </c:pt>
                <c:pt idx="35">
                  <c:v>87.65</c:v>
                </c:pt>
                <c:pt idx="36">
                  <c:v>88.57</c:v>
                </c:pt>
                <c:pt idx="37">
                  <c:v>89.11</c:v>
                </c:pt>
                <c:pt idx="38">
                  <c:v>89.69</c:v>
                </c:pt>
                <c:pt idx="39">
                  <c:v>89.93</c:v>
                </c:pt>
                <c:pt idx="40">
                  <c:v>85.74</c:v>
                </c:pt>
                <c:pt idx="41">
                  <c:v>85.8</c:v>
                </c:pt>
                <c:pt idx="42">
                  <c:v>86.4</c:v>
                </c:pt>
                <c:pt idx="43">
                  <c:v>86.94</c:v>
                </c:pt>
                <c:pt idx="44">
                  <c:v>88.19</c:v>
                </c:pt>
                <c:pt idx="45">
                  <c:v>89.08</c:v>
                </c:pt>
                <c:pt idx="46">
                  <c:v>89.65</c:v>
                </c:pt>
                <c:pt idx="47">
                  <c:v>90.42</c:v>
                </c:pt>
                <c:pt idx="48">
                  <c:v>90.93</c:v>
                </c:pt>
                <c:pt idx="49">
                  <c:v>91.03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70-864D-B745-D621AF7345DE}"/>
            </c:ext>
          </c:extLst>
        </c:ser>
        <c:ser>
          <c:idx val="1"/>
          <c:order val="1"/>
          <c:tx>
            <c:v>Val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Graphs!$A$57:$A$106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Graphs!$C$57:$C$106</c:f>
              <c:numCache>
                <c:formatCode>0.0</c:formatCode>
                <c:ptCount val="50"/>
                <c:pt idx="0">
                  <c:v>49</c:v>
                </c:pt>
                <c:pt idx="1">
                  <c:v>61.2</c:v>
                </c:pt>
                <c:pt idx="2">
                  <c:v>71.7</c:v>
                </c:pt>
                <c:pt idx="3">
                  <c:v>75.400000000000006</c:v>
                </c:pt>
                <c:pt idx="4">
                  <c:v>78.599999999999994</c:v>
                </c:pt>
                <c:pt idx="5">
                  <c:v>80</c:v>
                </c:pt>
                <c:pt idx="6">
                  <c:v>81.7</c:v>
                </c:pt>
                <c:pt idx="7">
                  <c:v>83.3</c:v>
                </c:pt>
                <c:pt idx="8">
                  <c:v>84.1</c:v>
                </c:pt>
                <c:pt idx="9">
                  <c:v>83.7</c:v>
                </c:pt>
                <c:pt idx="10">
                  <c:v>77.599999999999994</c:v>
                </c:pt>
                <c:pt idx="11">
                  <c:v>79.8</c:v>
                </c:pt>
                <c:pt idx="12">
                  <c:v>81.900000000000006</c:v>
                </c:pt>
                <c:pt idx="13">
                  <c:v>82.2</c:v>
                </c:pt>
                <c:pt idx="14">
                  <c:v>82.6</c:v>
                </c:pt>
                <c:pt idx="15">
                  <c:v>85.4</c:v>
                </c:pt>
                <c:pt idx="16">
                  <c:v>85.6</c:v>
                </c:pt>
                <c:pt idx="17">
                  <c:v>86.6</c:v>
                </c:pt>
                <c:pt idx="18">
                  <c:v>86.5</c:v>
                </c:pt>
                <c:pt idx="19">
                  <c:v>86.9</c:v>
                </c:pt>
                <c:pt idx="20">
                  <c:v>83.2</c:v>
                </c:pt>
                <c:pt idx="21">
                  <c:v>83.6</c:v>
                </c:pt>
                <c:pt idx="22">
                  <c:v>85.5</c:v>
                </c:pt>
                <c:pt idx="23">
                  <c:v>85.6</c:v>
                </c:pt>
                <c:pt idx="24">
                  <c:v>86.6</c:v>
                </c:pt>
                <c:pt idx="25">
                  <c:v>86.8</c:v>
                </c:pt>
                <c:pt idx="26">
                  <c:v>87.9</c:v>
                </c:pt>
                <c:pt idx="27">
                  <c:v>88</c:v>
                </c:pt>
                <c:pt idx="28">
                  <c:v>88.8</c:v>
                </c:pt>
                <c:pt idx="29">
                  <c:v>88.7</c:v>
                </c:pt>
                <c:pt idx="30">
                  <c:v>83.9</c:v>
                </c:pt>
                <c:pt idx="31">
                  <c:v>84.6</c:v>
                </c:pt>
                <c:pt idx="32">
                  <c:v>85.5</c:v>
                </c:pt>
                <c:pt idx="33">
                  <c:v>86.2</c:v>
                </c:pt>
                <c:pt idx="34">
                  <c:v>88</c:v>
                </c:pt>
                <c:pt idx="35">
                  <c:v>89.6</c:v>
                </c:pt>
                <c:pt idx="36">
                  <c:v>88.7</c:v>
                </c:pt>
                <c:pt idx="37">
                  <c:v>89.1</c:v>
                </c:pt>
                <c:pt idx="38">
                  <c:v>88.7</c:v>
                </c:pt>
                <c:pt idx="39">
                  <c:v>89.3</c:v>
                </c:pt>
                <c:pt idx="40">
                  <c:v>86.9</c:v>
                </c:pt>
                <c:pt idx="41">
                  <c:v>86.6</c:v>
                </c:pt>
                <c:pt idx="42">
                  <c:v>86.6</c:v>
                </c:pt>
                <c:pt idx="43">
                  <c:v>86.5</c:v>
                </c:pt>
                <c:pt idx="44">
                  <c:v>87.6</c:v>
                </c:pt>
                <c:pt idx="45">
                  <c:v>89</c:v>
                </c:pt>
                <c:pt idx="46">
                  <c:v>90.2</c:v>
                </c:pt>
                <c:pt idx="47">
                  <c:v>90.4</c:v>
                </c:pt>
                <c:pt idx="48">
                  <c:v>89.9</c:v>
                </c:pt>
                <c:pt idx="49">
                  <c:v>90.1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70-864D-B745-D621AF734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Epoch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Accuracy (%)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rPr lang="en-GB"/>
              <a:t>Learning-rate scheduler: loss curve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Graphs!$E$57:$E$106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Graphs!$F$57:$F$106</c:f>
              <c:numCache>
                <c:formatCode>0.0</c:formatCode>
                <c:ptCount val="50"/>
                <c:pt idx="0">
                  <c:v>1.6019000000000001</c:v>
                </c:pt>
                <c:pt idx="1">
                  <c:v>1.2332000000000001</c:v>
                </c:pt>
                <c:pt idx="2">
                  <c:v>1.0458000000000001</c:v>
                </c:pt>
                <c:pt idx="3">
                  <c:v>0.90820000000000001</c:v>
                </c:pt>
                <c:pt idx="4">
                  <c:v>0.81040000000000001</c:v>
                </c:pt>
                <c:pt idx="5">
                  <c:v>0.73040000000000005</c:v>
                </c:pt>
                <c:pt idx="6">
                  <c:v>0.66539999999999999</c:v>
                </c:pt>
                <c:pt idx="7">
                  <c:v>0.61370000000000002</c:v>
                </c:pt>
                <c:pt idx="8">
                  <c:v>0.57920000000000005</c:v>
                </c:pt>
                <c:pt idx="9">
                  <c:v>0.56030000000000002</c:v>
                </c:pt>
                <c:pt idx="10">
                  <c:v>0.75970000000000004</c:v>
                </c:pt>
                <c:pt idx="11">
                  <c:v>0.70189999999999997</c:v>
                </c:pt>
                <c:pt idx="12">
                  <c:v>0.65159999999999996</c:v>
                </c:pt>
                <c:pt idx="13">
                  <c:v>0.60750000000000004</c:v>
                </c:pt>
                <c:pt idx="14">
                  <c:v>0.55689999999999995</c:v>
                </c:pt>
                <c:pt idx="15">
                  <c:v>0.51490000000000002</c:v>
                </c:pt>
                <c:pt idx="16">
                  <c:v>0.47349999999999998</c:v>
                </c:pt>
                <c:pt idx="17">
                  <c:v>0.43980000000000002</c:v>
                </c:pt>
                <c:pt idx="18">
                  <c:v>0.41930000000000001</c:v>
                </c:pt>
                <c:pt idx="19">
                  <c:v>0.4088</c:v>
                </c:pt>
                <c:pt idx="20">
                  <c:v>0.58050000000000002</c:v>
                </c:pt>
                <c:pt idx="21">
                  <c:v>0.55940000000000001</c:v>
                </c:pt>
                <c:pt idx="22">
                  <c:v>0.5252</c:v>
                </c:pt>
                <c:pt idx="23">
                  <c:v>0.49249999999999999</c:v>
                </c:pt>
                <c:pt idx="24">
                  <c:v>0.45650000000000002</c:v>
                </c:pt>
                <c:pt idx="25">
                  <c:v>0.42430000000000001</c:v>
                </c:pt>
                <c:pt idx="26">
                  <c:v>0.38950000000000001</c:v>
                </c:pt>
                <c:pt idx="27">
                  <c:v>0.36899999999999999</c:v>
                </c:pt>
                <c:pt idx="28">
                  <c:v>0.34350000000000003</c:v>
                </c:pt>
                <c:pt idx="29">
                  <c:v>0.33860000000000001</c:v>
                </c:pt>
                <c:pt idx="30">
                  <c:v>0.48720000000000002</c:v>
                </c:pt>
                <c:pt idx="31">
                  <c:v>0.47510000000000002</c:v>
                </c:pt>
                <c:pt idx="32">
                  <c:v>0.45440000000000003</c:v>
                </c:pt>
                <c:pt idx="33">
                  <c:v>0.42320000000000002</c:v>
                </c:pt>
                <c:pt idx="34">
                  <c:v>0.39479999999999998</c:v>
                </c:pt>
                <c:pt idx="35">
                  <c:v>0.36520000000000002</c:v>
                </c:pt>
                <c:pt idx="36">
                  <c:v>0.3357</c:v>
                </c:pt>
                <c:pt idx="37">
                  <c:v>0.3165</c:v>
                </c:pt>
                <c:pt idx="38">
                  <c:v>0.30170000000000002</c:v>
                </c:pt>
                <c:pt idx="39">
                  <c:v>0.29389999999999999</c:v>
                </c:pt>
                <c:pt idx="40">
                  <c:v>0.42130000000000001</c:v>
                </c:pt>
                <c:pt idx="41">
                  <c:v>0.42320000000000002</c:v>
                </c:pt>
                <c:pt idx="42">
                  <c:v>0.40100000000000002</c:v>
                </c:pt>
                <c:pt idx="43">
                  <c:v>0.37990000000000002</c:v>
                </c:pt>
                <c:pt idx="44">
                  <c:v>0.35</c:v>
                </c:pt>
                <c:pt idx="45">
                  <c:v>0.31950000000000001</c:v>
                </c:pt>
                <c:pt idx="46">
                  <c:v>0.30020000000000002</c:v>
                </c:pt>
                <c:pt idx="47">
                  <c:v>0.27710000000000001</c:v>
                </c:pt>
                <c:pt idx="48">
                  <c:v>0.26469999999999999</c:v>
                </c:pt>
                <c:pt idx="49">
                  <c:v>0.26029999999999998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38-FA4D-A95F-3C6E61C2035D}"/>
            </c:ext>
          </c:extLst>
        </c:ser>
        <c:ser>
          <c:idx val="1"/>
          <c:order val="1"/>
          <c:tx>
            <c:v>Val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Graphs!$E$57:$E$106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Graphs!$G$57:$G$106</c:f>
              <c:numCache>
                <c:formatCode>0.0</c:formatCode>
                <c:ptCount val="50"/>
                <c:pt idx="0">
                  <c:v>1.3762000000000001</c:v>
                </c:pt>
                <c:pt idx="1">
                  <c:v>1.1386000000000001</c:v>
                </c:pt>
                <c:pt idx="2">
                  <c:v>0.82089999999999996</c:v>
                </c:pt>
                <c:pt idx="3">
                  <c:v>0.73</c:v>
                </c:pt>
                <c:pt idx="4">
                  <c:v>0.64459999999999995</c:v>
                </c:pt>
                <c:pt idx="5">
                  <c:v>0.5746</c:v>
                </c:pt>
                <c:pt idx="6">
                  <c:v>0.52749999999999997</c:v>
                </c:pt>
                <c:pt idx="7">
                  <c:v>0.50039999999999996</c:v>
                </c:pt>
                <c:pt idx="8">
                  <c:v>0.4874</c:v>
                </c:pt>
                <c:pt idx="9">
                  <c:v>0.48139999999999999</c:v>
                </c:pt>
                <c:pt idx="10">
                  <c:v>0.65210000000000001</c:v>
                </c:pt>
                <c:pt idx="11">
                  <c:v>0.58430000000000004</c:v>
                </c:pt>
                <c:pt idx="12">
                  <c:v>0.53520000000000001</c:v>
                </c:pt>
                <c:pt idx="13">
                  <c:v>0.49630000000000002</c:v>
                </c:pt>
                <c:pt idx="14">
                  <c:v>0.48870000000000002</c:v>
                </c:pt>
                <c:pt idx="15">
                  <c:v>0.43559999999999999</c:v>
                </c:pt>
                <c:pt idx="16">
                  <c:v>0.40129999999999999</c:v>
                </c:pt>
                <c:pt idx="17">
                  <c:v>0.3695</c:v>
                </c:pt>
                <c:pt idx="18">
                  <c:v>0.3674</c:v>
                </c:pt>
                <c:pt idx="19">
                  <c:v>0.36559999999999998</c:v>
                </c:pt>
                <c:pt idx="20">
                  <c:v>0.50149999999999995</c:v>
                </c:pt>
                <c:pt idx="21">
                  <c:v>0.48280000000000001</c:v>
                </c:pt>
                <c:pt idx="22">
                  <c:v>0.43890000000000001</c:v>
                </c:pt>
                <c:pt idx="23">
                  <c:v>0.43980000000000002</c:v>
                </c:pt>
                <c:pt idx="24">
                  <c:v>0.38500000000000001</c:v>
                </c:pt>
                <c:pt idx="25">
                  <c:v>0.36609999999999998</c:v>
                </c:pt>
                <c:pt idx="26">
                  <c:v>0.35670000000000002</c:v>
                </c:pt>
                <c:pt idx="27">
                  <c:v>0.35930000000000001</c:v>
                </c:pt>
                <c:pt idx="28">
                  <c:v>0.34470000000000001</c:v>
                </c:pt>
                <c:pt idx="29">
                  <c:v>0.34200000000000003</c:v>
                </c:pt>
                <c:pt idx="30">
                  <c:v>0.44979999999999998</c:v>
                </c:pt>
                <c:pt idx="31">
                  <c:v>0.4506</c:v>
                </c:pt>
                <c:pt idx="32">
                  <c:v>0.40860000000000002</c:v>
                </c:pt>
                <c:pt idx="33">
                  <c:v>0.38919999999999999</c:v>
                </c:pt>
                <c:pt idx="34">
                  <c:v>0.36059999999999998</c:v>
                </c:pt>
                <c:pt idx="35">
                  <c:v>0.34760000000000002</c:v>
                </c:pt>
                <c:pt idx="36">
                  <c:v>0.33479999999999999</c:v>
                </c:pt>
                <c:pt idx="37">
                  <c:v>0.33760000000000001</c:v>
                </c:pt>
                <c:pt idx="38">
                  <c:v>0.33679999999999999</c:v>
                </c:pt>
                <c:pt idx="39">
                  <c:v>0.33860000000000001</c:v>
                </c:pt>
                <c:pt idx="40">
                  <c:v>0.40350000000000003</c:v>
                </c:pt>
                <c:pt idx="41">
                  <c:v>0.35749999999999998</c:v>
                </c:pt>
                <c:pt idx="42">
                  <c:v>0.4254</c:v>
                </c:pt>
                <c:pt idx="43">
                  <c:v>0.39810000000000001</c:v>
                </c:pt>
                <c:pt idx="44">
                  <c:v>0.37409999999999999</c:v>
                </c:pt>
                <c:pt idx="45">
                  <c:v>0.32269999999999999</c:v>
                </c:pt>
                <c:pt idx="46">
                  <c:v>0.32619999999999999</c:v>
                </c:pt>
                <c:pt idx="47">
                  <c:v>0.30409999999999998</c:v>
                </c:pt>
                <c:pt idx="48">
                  <c:v>0.30830000000000002</c:v>
                </c:pt>
                <c:pt idx="49">
                  <c:v>0.30530000000000002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38-FA4D-A95F-3C6E61C20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Epoch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Loss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5" Type="http://schemas.openxmlformats.org/officeDocument/2006/relationships/chart" Target="../charts/chart28.xml"/><Relationship Id="rId4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23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22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41</xdr:row>
      <xdr:rowOff>0</xdr:rowOff>
    </xdr:from>
    <xdr:to>
      <xdr:col>14</xdr:col>
      <xdr:colOff>0</xdr:colOff>
      <xdr:row>59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60</xdr:row>
      <xdr:rowOff>0</xdr:rowOff>
    </xdr:from>
    <xdr:to>
      <xdr:col>14</xdr:col>
      <xdr:colOff>0</xdr:colOff>
      <xdr:row>79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80</xdr:row>
      <xdr:rowOff>0</xdr:rowOff>
    </xdr:from>
    <xdr:to>
      <xdr:col>14</xdr:col>
      <xdr:colOff>0</xdr:colOff>
      <xdr:row>99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mmaryTable" displayName="SummaryTable" ref="A4:M15">
  <tableColumns count="13">
    <tableColumn id="1" xr3:uid="{00000000-0010-0000-0000-000001000000}" name="Part"/>
    <tableColumn id="2" xr3:uid="{00000000-0010-0000-0000-000002000000}" name="Training / Experiment"/>
    <tableColumn id="3" xr3:uid="{00000000-0010-0000-0000-000003000000}" name="Sheet"/>
    <tableColumn id="4" xr3:uid="{00000000-0010-0000-0000-000004000000}" name="Epochs"/>
    <tableColumn id="5" xr3:uid="{00000000-0010-0000-0000-000005000000}" name="Training Time (min)"/>
    <tableColumn id="6" xr3:uid="{00000000-0010-0000-0000-000006000000}" name="Best Val Acc (%)"/>
    <tableColumn id="7" xr3:uid="{00000000-0010-0000-0000-000007000000}" name="Best Val Acc Epoch"/>
    <tableColumn id="8" xr3:uid="{00000000-0010-0000-0000-000008000000}" name="Best Val Loss"/>
    <tableColumn id="9" xr3:uid="{00000000-0010-0000-0000-000009000000}" name="Best Val Loss Epoch"/>
    <tableColumn id="10" xr3:uid="{00000000-0010-0000-0000-00000A000000}" name="Final Train Loss"/>
    <tableColumn id="11" xr3:uid="{00000000-0010-0000-0000-00000B000000}" name="Final Val Loss"/>
    <tableColumn id="12" xr3:uid="{00000000-0010-0000-0000-00000C000000}" name="Final Train Acc (%)"/>
    <tableColumn id="13" xr3:uid="{00000000-0010-0000-0000-00000D000000}" name="Final Val Acc (%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llEpochData" displayName="AllEpochData" ref="A3:H388">
  <tableColumns count="8">
    <tableColumn id="1" xr3:uid="{00000000-0010-0000-0100-000001000000}" name="Part"/>
    <tableColumn id="2" xr3:uid="{00000000-0010-0000-0100-000002000000}" name="Training / Experiment"/>
    <tableColumn id="3" xr3:uid="{00000000-0010-0000-0100-000003000000}" name="Epoch"/>
    <tableColumn id="4" xr3:uid="{00000000-0010-0000-0100-000004000000}" name="Train Loss"/>
    <tableColumn id="5" xr3:uid="{00000000-0010-0000-0100-000005000000}" name="Val Loss"/>
    <tableColumn id="6" xr3:uid="{00000000-0010-0000-0100-000006000000}" name="Train Acc (%)"/>
    <tableColumn id="7" xr3:uid="{00000000-0010-0000-0100-000007000000}" name="Val Acc (%)"/>
    <tableColumn id="8" xr3:uid="{00000000-0010-0000-0100-000008000000}" name="Training Time (min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1Data" displayName="P1Data" ref="A5:E15">
  <tableColumns count="5">
    <tableColumn id="1" xr3:uid="{00000000-0010-0000-0200-000001000000}" name="Epoch"/>
    <tableColumn id="2" xr3:uid="{00000000-0010-0000-0200-000002000000}" name="Train Loss"/>
    <tableColumn id="3" xr3:uid="{00000000-0010-0000-0200-000003000000}" name="Val Loss"/>
    <tableColumn id="4" xr3:uid="{00000000-0010-0000-0200-000004000000}" name="Train Acc (%)"/>
    <tableColumn id="5" xr3:uid="{00000000-0010-0000-0200-000005000000}" name="Val Acc (%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2Data" displayName="P2Data" ref="A5:E30">
  <tableColumns count="5">
    <tableColumn id="1" xr3:uid="{00000000-0010-0000-0300-000001000000}" name="Epoch"/>
    <tableColumn id="2" xr3:uid="{00000000-0010-0000-0300-000002000000}" name="Train Loss"/>
    <tableColumn id="3" xr3:uid="{00000000-0010-0000-0300-000003000000}" name="Val Loss"/>
    <tableColumn id="4" xr3:uid="{00000000-0010-0000-0300-000004000000}" name="Train Acc (%)"/>
    <tableColumn id="5" xr3:uid="{00000000-0010-0000-0300-000005000000}" name="Val Acc (%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3Data" displayName="P3Data" ref="A5:E30">
  <tableColumns count="5">
    <tableColumn id="1" xr3:uid="{00000000-0010-0000-0400-000001000000}" name="Epoch"/>
    <tableColumn id="2" xr3:uid="{00000000-0010-0000-0400-000002000000}" name="Train Loss"/>
    <tableColumn id="3" xr3:uid="{00000000-0010-0000-0400-000003000000}" name="Val Loss"/>
    <tableColumn id="4" xr3:uid="{00000000-0010-0000-0400-000004000000}" name="Train Acc (%)"/>
    <tableColumn id="5" xr3:uid="{00000000-0010-0000-0400-000005000000}" name="Val Acc (%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4aData" displayName="P4aData" ref="A5:E30">
  <tableColumns count="5">
    <tableColumn id="1" xr3:uid="{00000000-0010-0000-0500-000001000000}" name="Epoch"/>
    <tableColumn id="2" xr3:uid="{00000000-0010-0000-0500-000002000000}" name="Train Loss"/>
    <tableColumn id="3" xr3:uid="{00000000-0010-0000-0500-000003000000}" name="Val Loss"/>
    <tableColumn id="4" xr3:uid="{00000000-0010-0000-0500-000004000000}" name="Train Acc (%)"/>
    <tableColumn id="5" xr3:uid="{00000000-0010-0000-0500-000005000000}" name="Val Acc (%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4bData" displayName="P4bData" ref="A5:E30">
  <tableColumns count="5">
    <tableColumn id="1" xr3:uid="{00000000-0010-0000-0600-000001000000}" name="Epoch"/>
    <tableColumn id="2" xr3:uid="{00000000-0010-0000-0600-000002000000}" name="Train Loss"/>
    <tableColumn id="3" xr3:uid="{00000000-0010-0000-0600-000003000000}" name="Val Loss"/>
    <tableColumn id="4" xr3:uid="{00000000-0010-0000-0600-000004000000}" name="Train Acc (%)"/>
    <tableColumn id="5" xr3:uid="{00000000-0010-0000-0600-000005000000}" name="Val Acc (%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4cData" displayName="P4cData" ref="A5:E30">
  <tableColumns count="5">
    <tableColumn id="1" xr3:uid="{00000000-0010-0000-0700-000001000000}" name="Epoch"/>
    <tableColumn id="2" xr3:uid="{00000000-0010-0000-0700-000002000000}" name="Train Loss"/>
    <tableColumn id="3" xr3:uid="{00000000-0010-0000-0700-000003000000}" name="Val Loss"/>
    <tableColumn id="4" xr3:uid="{00000000-0010-0000-0700-000004000000}" name="Train Acc (%)"/>
    <tableColumn id="5" xr3:uid="{00000000-0010-0000-0700-000005000000}" name="Val Acc (%)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5Data" displayName="P5Data" ref="A5:E55">
  <tableColumns count="5">
    <tableColumn id="1" xr3:uid="{00000000-0010-0000-0800-000001000000}" name="Epoch"/>
    <tableColumn id="2" xr3:uid="{00000000-0010-0000-0800-000002000000}" name="Train Loss"/>
    <tableColumn id="3" xr3:uid="{00000000-0010-0000-0800-000003000000}" name="Val Loss"/>
    <tableColumn id="4" xr3:uid="{00000000-0010-0000-0800-000004000000}" name="Train Acc (%)"/>
    <tableColumn id="5" xr3:uid="{00000000-0010-0000-0800-000005000000}" name="Val Acc (%)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6aData" displayName="P6aData" ref="A5:E55">
  <tableColumns count="5">
    <tableColumn id="1" xr3:uid="{00000000-0010-0000-0900-000001000000}" name="Epoch"/>
    <tableColumn id="2" xr3:uid="{00000000-0010-0000-0900-000002000000}" name="Train Loss"/>
    <tableColumn id="3" xr3:uid="{00000000-0010-0000-0900-000003000000}" name="Val Loss"/>
    <tableColumn id="4" xr3:uid="{00000000-0010-0000-0900-000004000000}" name="Train Acc (%)"/>
    <tableColumn id="5" xr3:uid="{00000000-0010-0000-0900-000005000000}" name="Val Acc (%)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P6bData" displayName="P6bData" ref="A5:E55">
  <tableColumns count="5">
    <tableColumn id="1" xr3:uid="{00000000-0010-0000-0A00-000001000000}" name="Epoch"/>
    <tableColumn id="2" xr3:uid="{00000000-0010-0000-0A00-000002000000}" name="Train Loss"/>
    <tableColumn id="3" xr3:uid="{00000000-0010-0000-0A00-000003000000}" name="Val Loss"/>
    <tableColumn id="4" xr3:uid="{00000000-0010-0000-0A00-000004000000}" name="Train Acc (%)"/>
    <tableColumn id="5" xr3:uid="{00000000-0010-0000-0A00-000005000000}" name="Val Acc (%)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P6cData" displayName="P6cData" ref="A5:E55">
  <tableColumns count="5">
    <tableColumn id="1" xr3:uid="{00000000-0010-0000-0B00-000001000000}" name="Epoch"/>
    <tableColumn id="2" xr3:uid="{00000000-0010-0000-0B00-000002000000}" name="Train Loss"/>
    <tableColumn id="3" xr3:uid="{00000000-0010-0000-0B00-000003000000}" name="Val Loss"/>
    <tableColumn id="4" xr3:uid="{00000000-0010-0000-0B00-000004000000}" name="Train Acc (%)"/>
    <tableColumn id="5" xr3:uid="{00000000-0010-0000-0B00-000005000000}" name="Val Acc (%)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P6dData" displayName="P6dData" ref="A5:E55">
  <tableColumns count="5">
    <tableColumn id="1" xr3:uid="{00000000-0010-0000-0C00-000001000000}" name="Epoch"/>
    <tableColumn id="2" xr3:uid="{00000000-0010-0000-0C00-000002000000}" name="Train Loss"/>
    <tableColumn id="3" xr3:uid="{00000000-0010-0000-0C00-000003000000}" name="Val Loss"/>
    <tableColumn id="4" xr3:uid="{00000000-0010-0000-0C00-000004000000}" name="Train Acc (%)"/>
    <tableColumn id="5" xr3:uid="{00000000-0010-0000-0C00-000005000000}" name="Val Acc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workbookViewId="0">
      <selection sqref="A1:M1"/>
    </sheetView>
  </sheetViews>
  <sheetFormatPr baseColWidth="10" defaultColWidth="8.83203125" defaultRowHeight="15"/>
  <cols>
    <col min="1" max="1" width="10" customWidth="1"/>
    <col min="2" max="2" width="48" customWidth="1"/>
    <col min="3" max="3" width="10" customWidth="1"/>
    <col min="4" max="13" width="15" customWidth="1"/>
  </cols>
  <sheetData>
    <row r="1" spans="1:13" ht="46.25" customHeight="1">
      <c r="A1" s="15" t="s">
        <v>19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>
      <c r="A2" s="14" t="s">
        <v>20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4" spans="1:13">
      <c r="A4" s="1" t="s">
        <v>21</v>
      </c>
      <c r="B4" s="1" t="s">
        <v>22</v>
      </c>
      <c r="C4" s="1" t="s">
        <v>23</v>
      </c>
      <c r="D4" s="1" t="s">
        <v>24</v>
      </c>
      <c r="E4" s="1" t="s">
        <v>7</v>
      </c>
      <c r="F4" s="1" t="s">
        <v>6</v>
      </c>
      <c r="G4" s="1" t="s">
        <v>25</v>
      </c>
      <c r="H4" s="1" t="s">
        <v>26</v>
      </c>
      <c r="I4" s="1" t="s">
        <v>27</v>
      </c>
      <c r="J4" s="1" t="s">
        <v>28</v>
      </c>
      <c r="K4" s="1" t="s">
        <v>29</v>
      </c>
      <c r="L4" s="1" t="s">
        <v>30</v>
      </c>
      <c r="M4" s="1" t="s">
        <v>31</v>
      </c>
    </row>
    <row r="5" spans="1:13" ht="16" customHeight="1">
      <c r="A5" s="4" t="s">
        <v>32</v>
      </c>
      <c r="B5" s="2" t="s">
        <v>33</v>
      </c>
      <c r="C5" s="2" t="s">
        <v>34</v>
      </c>
      <c r="D5" s="3">
        <f>MAX('P1'!$A$6:$A$15)</f>
        <v>10</v>
      </c>
      <c r="E5" s="3">
        <f>'P1'!$B$3</f>
        <v>0.74</v>
      </c>
      <c r="F5" s="3">
        <f>MAX('P1'!$E$6:$E$15)</f>
        <v>57.5</v>
      </c>
      <c r="G5" s="3">
        <f>INDEX('P1'!$A$6:$A$15,MATCH(MAX('P1'!$E$6:$E$15),'P1'!$E$6:$E$15,0))</f>
        <v>4</v>
      </c>
      <c r="H5" s="3">
        <f>MIN('P1'!$C$6:$C$15)</f>
        <v>1.2204999999999999</v>
      </c>
      <c r="I5" s="3">
        <f>INDEX('P1'!$A$6:$A$15,MATCH(MIN('P1'!$C$6:$C$15),'P1'!$C$6:$C$15,0))</f>
        <v>4</v>
      </c>
      <c r="J5" s="3">
        <f>INDEX('P1'!$B$6:$B$15,MATCH(MAX('P1'!$A$6:$A$15),'P1'!$A$6:$A$15,0))</f>
        <v>1.2256</v>
      </c>
      <c r="K5" s="3">
        <f>INDEX('P1'!$C$6:$C$15,MATCH(MAX('P1'!$A$6:$A$15),'P1'!$A$6:$A$15,0))</f>
        <v>1.3214999999999999</v>
      </c>
      <c r="L5" s="3">
        <f>INDEX('P1'!$D$6:$D$15,MATCH(MAX('P1'!$A$6:$A$15),'P1'!$A$6:$A$15,0))</f>
        <v>56.4</v>
      </c>
      <c r="M5" s="3">
        <f>INDEX('P1'!$E$6:$E$15,MATCH(MAX('P1'!$A$6:$A$15),'P1'!$A$6:$A$15,0))</f>
        <v>52.1</v>
      </c>
    </row>
    <row r="6" spans="1:13" ht="16" customHeight="1">
      <c r="A6" s="4" t="s">
        <v>35</v>
      </c>
      <c r="B6" s="2" t="s">
        <v>36</v>
      </c>
      <c r="C6" s="2" t="s">
        <v>37</v>
      </c>
      <c r="D6" s="3">
        <f>MAX('P2'!$A$6:$A$30)</f>
        <v>25</v>
      </c>
      <c r="E6" s="3">
        <f>'P2'!$B$3</f>
        <v>3.96</v>
      </c>
      <c r="F6" s="3">
        <f>MAX('P2'!$E$6:$E$30)</f>
        <v>72.099999999999994</v>
      </c>
      <c r="G6" s="3">
        <f>INDEX('P2'!$A$6:$A$30,MATCH(MAX('P2'!$E$6:$E$30),'P2'!$E$6:$E$30,0))</f>
        <v>7</v>
      </c>
      <c r="H6" s="3">
        <f>MIN('P2'!$C$6:$C$30)</f>
        <v>0.84619999999999995</v>
      </c>
      <c r="I6" s="3">
        <f>INDEX('P2'!$A$6:$A$30,MATCH(MIN('P2'!$C$6:$C$30),'P2'!$C$6:$C$30,0))</f>
        <v>4</v>
      </c>
      <c r="J6" s="3">
        <f>INDEX('P2'!$B$6:$B$30,MATCH(MAX('P2'!$A$6:$A$30),'P2'!$A$6:$A$30,0))</f>
        <v>6.7500000000000004E-2</v>
      </c>
      <c r="K6" s="3">
        <f>INDEX('P2'!$C$6:$C$30,MATCH(MAX('P2'!$A$6:$A$30),'P2'!$A$6:$A$30,0))</f>
        <v>2.4108999999999998</v>
      </c>
      <c r="L6" s="3">
        <f>INDEX('P2'!$D$6:$D$30,MATCH(MAX('P2'!$A$6:$A$30),'P2'!$A$6:$A$30,0))</f>
        <v>97.65</v>
      </c>
      <c r="M6" s="3">
        <f>INDEX('P2'!$E$6:$E$30,MATCH(MAX('P2'!$A$6:$A$30),'P2'!$A$6:$A$30,0))</f>
        <v>69.099999999999994</v>
      </c>
    </row>
    <row r="7" spans="1:13" ht="32" customHeight="1">
      <c r="A7" s="4" t="s">
        <v>38</v>
      </c>
      <c r="B7" s="2" t="s">
        <v>39</v>
      </c>
      <c r="C7" s="2" t="s">
        <v>40</v>
      </c>
      <c r="D7" s="3">
        <f>MAX('P3'!$A$6:$A$30)</f>
        <v>25</v>
      </c>
      <c r="E7" s="3">
        <f>'P3'!$B$3</f>
        <v>20.62</v>
      </c>
      <c r="F7" s="3">
        <f>MAX('P3'!$E$6:$E$30)</f>
        <v>76</v>
      </c>
      <c r="G7" s="3">
        <f>INDEX('P3'!$A$6:$A$30,MATCH(MAX('P3'!$E$6:$E$30),'P3'!$E$6:$E$30,0))</f>
        <v>9</v>
      </c>
      <c r="H7" s="3">
        <f>MIN('P3'!$C$6:$C$30)</f>
        <v>0.76990000000000003</v>
      </c>
      <c r="I7" s="3">
        <f>INDEX('P3'!$A$6:$A$30,MATCH(MIN('P3'!$C$6:$C$30),'P3'!$C$6:$C$30,0))</f>
        <v>6</v>
      </c>
      <c r="J7" s="3">
        <f>INDEX('P3'!$B$6:$B$30,MATCH(MAX('P3'!$A$6:$A$30),'P3'!$A$6:$A$30,0))</f>
        <v>7.7499999999999999E-2</v>
      </c>
      <c r="K7" s="3">
        <f>INDEX('P3'!$C$6:$C$30,MATCH(MAX('P3'!$A$6:$A$30),'P3'!$A$6:$A$30,0))</f>
        <v>1.4793000000000001</v>
      </c>
      <c r="L7" s="3">
        <f>INDEX('P3'!$D$6:$D$30,MATCH(MAX('P3'!$A$6:$A$30),'P3'!$A$6:$A$30,0))</f>
        <v>97.37</v>
      </c>
      <c r="M7" s="3">
        <f>INDEX('P3'!$E$6:$E$30,MATCH(MAX('P3'!$A$6:$A$30),'P3'!$A$6:$A$30,0))</f>
        <v>73.7</v>
      </c>
    </row>
    <row r="8" spans="1:13" ht="16" customHeight="1">
      <c r="A8" s="4" t="s">
        <v>41</v>
      </c>
      <c r="B8" s="2" t="s">
        <v>42</v>
      </c>
      <c r="C8" s="2" t="s">
        <v>43</v>
      </c>
      <c r="D8" s="3">
        <f>MAX(P4a!$A$6:$A$30)</f>
        <v>25</v>
      </c>
      <c r="E8" s="3">
        <f>P4a!$B$3</f>
        <v>13.77</v>
      </c>
      <c r="F8" s="3">
        <f>MAX(P4a!$E$6:$E$30)</f>
        <v>85.3</v>
      </c>
      <c r="G8" s="3">
        <f>INDEX(P4a!$A$6:$A$30,MATCH(MAX(P4a!$E$6:$E$30),P4a!$E$6:$E$30,0))</f>
        <v>19</v>
      </c>
      <c r="H8" s="3">
        <f>MIN(P4a!$C$6:$C$30)</f>
        <v>0.53259999999999996</v>
      </c>
      <c r="I8" s="3">
        <f>INDEX(P4a!$A$6:$A$30,MATCH(MIN(P4a!$C$6:$C$30),P4a!$C$6:$C$30,0))</f>
        <v>12</v>
      </c>
      <c r="J8" s="3">
        <f>INDEX(P4a!$B$6:$B$30,MATCH(MAX(P4a!$A$6:$A$30),P4a!$A$6:$A$30,0))</f>
        <v>0.13300000000000001</v>
      </c>
      <c r="K8" s="3">
        <f>INDEX(P4a!$C$6:$C$30,MATCH(MAX(P4a!$A$6:$A$30),P4a!$A$6:$A$30,0))</f>
        <v>0.60840000000000005</v>
      </c>
      <c r="L8" s="3">
        <f>INDEX(P4a!$D$6:$D$30,MATCH(MAX(P4a!$A$6:$A$30),P4a!$A$6:$A$30,0))</f>
        <v>95.4</v>
      </c>
      <c r="M8" s="3">
        <f>INDEX(P4a!$E$6:$E$30,MATCH(MAX(P4a!$A$6:$A$30),P4a!$A$6:$A$30,0))</f>
        <v>85</v>
      </c>
    </row>
    <row r="9" spans="1:13" ht="16" customHeight="1">
      <c r="A9" s="4" t="s">
        <v>44</v>
      </c>
      <c r="B9" s="2" t="s">
        <v>45</v>
      </c>
      <c r="C9" s="2" t="s">
        <v>46</v>
      </c>
      <c r="D9" s="3">
        <f>MAX(P4b!$A$6:$A$30)</f>
        <v>25</v>
      </c>
      <c r="E9" s="3">
        <f>P4b!$B$3</f>
        <v>25.98</v>
      </c>
      <c r="F9" s="3">
        <f>MAX(P4b!$E$6:$E$30)</f>
        <v>82.9</v>
      </c>
      <c r="G9" s="3">
        <f>INDEX(P4b!$A$6:$A$30,MATCH(MAX(P4b!$E$6:$E$30),P4b!$E$6:$E$30,0))</f>
        <v>23</v>
      </c>
      <c r="H9" s="3">
        <f>MIN(P4b!$C$6:$C$30)</f>
        <v>0.61860000000000004</v>
      </c>
      <c r="I9" s="3">
        <f>INDEX(P4b!$A$6:$A$30,MATCH(MIN(P4b!$C$6:$C$30),P4b!$C$6:$C$30,0))</f>
        <v>5</v>
      </c>
      <c r="J9" s="3">
        <f>INDEX(P4b!$B$6:$B$30,MATCH(MAX(P4b!$A$6:$A$30),P4b!$A$6:$A$30,0))</f>
        <v>2.9700000000000001E-2</v>
      </c>
      <c r="K9" s="3">
        <f>INDEX(P4b!$C$6:$C$30,MATCH(MAX(P4b!$A$6:$A$30),P4b!$A$6:$A$30,0))</f>
        <v>1.0390999999999999</v>
      </c>
      <c r="L9" s="3">
        <f>INDEX(P4b!$D$6:$D$30,MATCH(MAX(P4b!$A$6:$A$30),P4b!$A$6:$A$30,0))</f>
        <v>98.98</v>
      </c>
      <c r="M9" s="3">
        <f>INDEX(P4b!$E$6:$E$30,MATCH(MAX(P4b!$A$6:$A$30),P4b!$A$6:$A$30,0))</f>
        <v>80.900000000000006</v>
      </c>
    </row>
    <row r="10" spans="1:13" ht="16" customHeight="1">
      <c r="A10" s="4" t="s">
        <v>47</v>
      </c>
      <c r="B10" s="2" t="s">
        <v>48</v>
      </c>
      <c r="C10" s="2" t="s">
        <v>49</v>
      </c>
      <c r="D10" s="3">
        <f>MAX(P4c!$A$6:$A$30)</f>
        <v>25</v>
      </c>
      <c r="E10" s="3">
        <f>P4c!$B$3</f>
        <v>36.08</v>
      </c>
      <c r="F10" s="3">
        <f>MAX(P4c!$E$6:$E$30)</f>
        <v>88.4</v>
      </c>
      <c r="G10" s="3">
        <f>INDEX(P4c!$A$6:$A$30,MATCH(MAX(P4c!$E$6:$E$30),P4c!$E$6:$E$30,0))</f>
        <v>25</v>
      </c>
      <c r="H10" s="3">
        <f>MIN(P4c!$C$6:$C$30)</f>
        <v>0.3614</v>
      </c>
      <c r="I10" s="3">
        <f>INDEX(P4c!$A$6:$A$30,MATCH(MIN(P4c!$C$6:$C$30),P4c!$C$6:$C$30,0))</f>
        <v>21</v>
      </c>
      <c r="J10" s="3">
        <f>INDEX(P4c!$B$6:$B$30,MATCH(MAX(P4c!$A$6:$A$30),P4c!$A$6:$A$30,0))</f>
        <v>0.23530000000000001</v>
      </c>
      <c r="K10" s="3">
        <f>INDEX(P4c!$C$6:$C$30,MATCH(MAX(P4c!$A$6:$A$30),P4c!$A$6:$A$30,0))</f>
        <v>0.39560000000000001</v>
      </c>
      <c r="L10" s="3">
        <f>INDEX(P4c!$D$6:$D$30,MATCH(MAX(P4c!$A$6:$A$30),P4c!$A$6:$A$30,0))</f>
        <v>91.73</v>
      </c>
      <c r="M10" s="3">
        <f>INDEX(P4c!$E$6:$E$30,MATCH(MAX(P4c!$A$6:$A$30),P4c!$A$6:$A$30,0))</f>
        <v>88.4</v>
      </c>
    </row>
    <row r="11" spans="1:13" ht="32" customHeight="1">
      <c r="A11" s="4" t="s">
        <v>50</v>
      </c>
      <c r="B11" s="2" t="s">
        <v>51</v>
      </c>
      <c r="C11" s="2" t="s">
        <v>52</v>
      </c>
      <c r="D11" s="3">
        <f>MAX('P5'!$A$6:$A$55)</f>
        <v>50</v>
      </c>
      <c r="E11" s="3">
        <f>'P5'!$B$3</f>
        <v>84.13</v>
      </c>
      <c r="F11" s="3">
        <f>MAX('P5'!$E$6:$E$55)</f>
        <v>89.7</v>
      </c>
      <c r="G11" s="3">
        <f>INDEX('P5'!$A$6:$A$55,MATCH(MAX('P5'!$E$6:$E$55),'P5'!$E$6:$E$55,0))</f>
        <v>50</v>
      </c>
      <c r="H11" s="3">
        <f>MIN('P5'!$C$6:$C$55)</f>
        <v>0.32800000000000001</v>
      </c>
      <c r="I11" s="3">
        <f>INDEX('P5'!$A$6:$A$55,MATCH(MIN('P5'!$C$6:$C$55),'P5'!$C$6:$C$55,0))</f>
        <v>50</v>
      </c>
      <c r="J11" s="3">
        <f>INDEX('P5'!$B$6:$B$55,MATCH(MAX('P5'!$A$6:$A$55),'P5'!$A$6:$A$55,0))</f>
        <v>0.2787</v>
      </c>
      <c r="K11" s="3">
        <f>INDEX('P5'!$C$6:$C$55,MATCH(MAX('P5'!$A$6:$A$55),'P5'!$A$6:$A$55,0))</f>
        <v>0.32800000000000001</v>
      </c>
      <c r="L11" s="3">
        <f>INDEX('P5'!$D$6:$D$55,MATCH(MAX('P5'!$A$6:$A$55),'P5'!$A$6:$A$55,0))</f>
        <v>90.43</v>
      </c>
      <c r="M11" s="3">
        <f>INDEX('P5'!$E$6:$E$55,MATCH(MAX('P5'!$A$6:$A$55),'P5'!$A$6:$A$55,0))</f>
        <v>89.7</v>
      </c>
    </row>
    <row r="12" spans="1:13" ht="16" customHeight="1">
      <c r="A12" s="4" t="s">
        <v>53</v>
      </c>
      <c r="B12" s="2" t="s">
        <v>54</v>
      </c>
      <c r="C12" s="2" t="s">
        <v>55</v>
      </c>
      <c r="D12" s="3">
        <f>MAX(P6a!$A$6:$A$55)</f>
        <v>50</v>
      </c>
      <c r="E12" s="3">
        <f>P6a!$B$3</f>
        <v>18.88</v>
      </c>
      <c r="F12" s="3">
        <f>MAX(P6a!$E$6:$E$55)</f>
        <v>89</v>
      </c>
      <c r="G12" s="3">
        <f>INDEX(P6a!$A$6:$A$55,MATCH(MAX(P6a!$E$6:$E$55),P6a!$E$6:$E$55,0))</f>
        <v>50</v>
      </c>
      <c r="H12" s="3">
        <f>MIN(P6a!$C$6:$C$55)</f>
        <v>0.76119999999999999</v>
      </c>
      <c r="I12" s="3">
        <f>INDEX(P6a!$A$6:$A$55,MATCH(MIN(P6a!$C$6:$C$55),P6a!$C$6:$C$55,0))</f>
        <v>49</v>
      </c>
      <c r="J12" s="3">
        <f>INDEX(P6a!$B$6:$B$55,MATCH(MAX(P6a!$A$6:$A$55),P6a!$A$6:$A$55,0))</f>
        <v>0.81540000000000001</v>
      </c>
      <c r="K12" s="3">
        <f>INDEX(P6a!$C$6:$C$55,MATCH(MAX(P6a!$A$6:$A$55),P6a!$A$6:$A$55,0))</f>
        <v>0.76270000000000004</v>
      </c>
      <c r="L12" s="3">
        <f>INDEX(P6a!$D$6:$D$55,MATCH(MAX(P6a!$A$6:$A$55),P6a!$A$6:$A$55,0))</f>
        <v>87.63</v>
      </c>
      <c r="M12" s="3">
        <f>INDEX(P6a!$E$6:$E$55,MATCH(MAX(P6a!$A$6:$A$55),P6a!$A$6:$A$55,0))</f>
        <v>89</v>
      </c>
    </row>
    <row r="13" spans="1:13" ht="16" customHeight="1">
      <c r="A13" s="4" t="s">
        <v>56</v>
      </c>
      <c r="B13" s="2" t="s">
        <v>57</v>
      </c>
      <c r="C13" s="2" t="s">
        <v>58</v>
      </c>
      <c r="D13" s="3">
        <f>MAX(P6b!$A$6:$A$55)</f>
        <v>50</v>
      </c>
      <c r="E13" s="3">
        <f>P6b!$B$3</f>
        <v>47.55</v>
      </c>
      <c r="F13" s="3">
        <f>MAX(P6b!$E$6:$E$55)</f>
        <v>90.4</v>
      </c>
      <c r="G13" s="3">
        <f>INDEX(P6b!$A$6:$A$55,MATCH(MAX(P6b!$E$6:$E$55),P6b!$E$6:$E$55,0))</f>
        <v>48</v>
      </c>
      <c r="H13" s="3">
        <f>MIN(P6b!$C$6:$C$55)</f>
        <v>0.30409999999999998</v>
      </c>
      <c r="I13" s="3">
        <f>INDEX(P6b!$A$6:$A$55,MATCH(MIN(P6b!$C$6:$C$55),P6b!$C$6:$C$55,0))</f>
        <v>48</v>
      </c>
      <c r="J13" s="3">
        <f>INDEX(P6b!$B$6:$B$55,MATCH(MAX(P6b!$A$6:$A$55),P6b!$A$6:$A$55,0))</f>
        <v>0.26029999999999998</v>
      </c>
      <c r="K13" s="3">
        <f>INDEX(P6b!$C$6:$C$55,MATCH(MAX(P6b!$A$6:$A$55),P6b!$A$6:$A$55,0))</f>
        <v>0.30530000000000002</v>
      </c>
      <c r="L13" s="3">
        <f>INDEX(P6b!$D$6:$D$55,MATCH(MAX(P6b!$A$6:$A$55),P6b!$A$6:$A$55,0))</f>
        <v>91.03</v>
      </c>
      <c r="M13" s="3">
        <f>INDEX(P6b!$E$6:$E$55,MATCH(MAX(P6b!$A$6:$A$55),P6b!$A$6:$A$55,0))</f>
        <v>90.1</v>
      </c>
    </row>
    <row r="14" spans="1:13" ht="16" customHeight="1">
      <c r="A14" s="4" t="s">
        <v>59</v>
      </c>
      <c r="B14" s="2" t="s">
        <v>60</v>
      </c>
      <c r="C14" s="2" t="s">
        <v>61</v>
      </c>
      <c r="D14" s="3">
        <f>MAX(P6c!$A$6:$A$55)</f>
        <v>50</v>
      </c>
      <c r="E14" s="3">
        <f>P6c!$B$3</f>
        <v>36.450000000000003</v>
      </c>
      <c r="F14" s="3">
        <f>MAX(P6c!$E$6:$E$55)</f>
        <v>88.8</v>
      </c>
      <c r="G14" s="3">
        <f>INDEX(P6c!$A$6:$A$55,MATCH(MAX(P6c!$E$6:$E$55),P6c!$E$6:$E$55,0))</f>
        <v>45</v>
      </c>
      <c r="H14" s="3">
        <f>MIN(P6c!$C$6:$C$55)</f>
        <v>0.34460000000000002</v>
      </c>
      <c r="I14" s="3">
        <f>INDEX(P6c!$A$6:$A$55,MATCH(MIN(P6c!$C$6:$C$55),P6c!$C$6:$C$55,0))</f>
        <v>45</v>
      </c>
      <c r="J14" s="3">
        <f>INDEX(P6c!$B$6:$B$55,MATCH(MAX(P6c!$A$6:$A$55),P6c!$A$6:$A$55,0))</f>
        <v>0.33139999999999997</v>
      </c>
      <c r="K14" s="3">
        <f>INDEX(P6c!$C$6:$C$55,MATCH(MAX(P6c!$A$6:$A$55),P6c!$A$6:$A$55,0))</f>
        <v>0.36220000000000002</v>
      </c>
      <c r="L14" s="3">
        <f>INDEX(P6c!$D$6:$D$55,MATCH(MAX(P6c!$A$6:$A$55),P6c!$A$6:$A$55,0))</f>
        <v>88.52</v>
      </c>
      <c r="M14" s="3">
        <f>INDEX(P6c!$E$6:$E$55,MATCH(MAX(P6c!$A$6:$A$55),P6c!$A$6:$A$55,0))</f>
        <v>88.5</v>
      </c>
    </row>
    <row r="15" spans="1:13" ht="16" customHeight="1">
      <c r="A15" s="4" t="s">
        <v>62</v>
      </c>
      <c r="B15" s="2" t="s">
        <v>63</v>
      </c>
      <c r="C15" s="2" t="s">
        <v>64</v>
      </c>
      <c r="D15" s="3">
        <f>MAX(P6d!$A$6:$A$55)</f>
        <v>50</v>
      </c>
      <c r="E15" s="3">
        <f>P6d!$B$3</f>
        <v>22.9</v>
      </c>
      <c r="F15" s="3">
        <f>MAX(P6d!$E$6:$E$55)</f>
        <v>90.1</v>
      </c>
      <c r="G15" s="3">
        <f>INDEX(P6d!$A$6:$A$55,MATCH(MAX(P6d!$E$6:$E$55),P6d!$E$6:$E$55,0))</f>
        <v>46</v>
      </c>
      <c r="H15" s="3">
        <f>MIN(P6d!$C$6:$C$55)</f>
        <v>0.32990000000000003</v>
      </c>
      <c r="I15" s="3">
        <f>INDEX(P6d!$A$6:$A$55,MATCH(MIN(P6d!$C$6:$C$55),P6d!$C$6:$C$55,0))</f>
        <v>40</v>
      </c>
      <c r="J15" s="3">
        <f>INDEX(P6d!$B$6:$B$55,MATCH(MAX(P6d!$A$6:$A$55),P6d!$A$6:$A$55,0))</f>
        <v>0.24410000000000001</v>
      </c>
      <c r="K15" s="3">
        <f>INDEX(P6d!$C$6:$C$55,MATCH(MAX(P6d!$A$6:$A$55),P6d!$A$6:$A$55,0))</f>
        <v>0.36080000000000001</v>
      </c>
      <c r="L15" s="3">
        <f>INDEX(P6d!$D$6:$D$55,MATCH(MAX(P6d!$A$6:$A$55),P6d!$A$6:$A$55,0))</f>
        <v>91.23</v>
      </c>
      <c r="M15" s="3">
        <f>INDEX(P6d!$E$6:$E$55,MATCH(MAX(P6d!$A$6:$A$55),P6d!$A$6:$A$55,0))</f>
        <v>89.5</v>
      </c>
    </row>
  </sheetData>
  <mergeCells count="2">
    <mergeCell ref="A2:M2"/>
    <mergeCell ref="A1:M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8"/>
  <sheetViews>
    <sheetView workbookViewId="0"/>
  </sheetViews>
  <sheetFormatPr baseColWidth="10" defaultColWidth="8.83203125" defaultRowHeight="15"/>
  <cols>
    <col min="1" max="1" width="29.6640625" customWidth="1"/>
    <col min="2" max="2" width="48" customWidth="1"/>
    <col min="3" max="3" width="7.5" customWidth="1"/>
    <col min="4" max="4" width="10.5" customWidth="1"/>
    <col min="5" max="5" width="9" customWidth="1"/>
    <col min="6" max="6" width="13" customWidth="1"/>
    <col min="7" max="7" width="11.5" customWidth="1"/>
    <col min="8" max="8" width="18.5" customWidth="1"/>
  </cols>
  <sheetData>
    <row r="1" spans="1:8" ht="46.25" customHeight="1">
      <c r="A1" s="15" t="s">
        <v>65</v>
      </c>
      <c r="B1" s="12"/>
      <c r="C1" s="12"/>
      <c r="D1" s="12"/>
      <c r="E1" s="12"/>
      <c r="F1" s="12"/>
      <c r="G1" s="12"/>
      <c r="H1" s="12"/>
    </row>
    <row r="3" spans="1:8">
      <c r="A3" s="1" t="s">
        <v>21</v>
      </c>
      <c r="B3" s="1" t="s">
        <v>22</v>
      </c>
      <c r="C3" s="1" t="s">
        <v>2</v>
      </c>
      <c r="D3" s="1" t="s">
        <v>17</v>
      </c>
      <c r="E3" s="1" t="s">
        <v>18</v>
      </c>
      <c r="F3" s="1" t="s">
        <v>3</v>
      </c>
      <c r="G3" s="1" t="s">
        <v>4</v>
      </c>
      <c r="H3" s="1" t="s">
        <v>7</v>
      </c>
    </row>
    <row r="4" spans="1:8">
      <c r="A4" t="s">
        <v>32</v>
      </c>
      <c r="B4" t="s">
        <v>33</v>
      </c>
      <c r="C4">
        <v>1</v>
      </c>
      <c r="D4" s="5">
        <v>1.8299000000000001</v>
      </c>
      <c r="E4" s="5">
        <v>1.5705</v>
      </c>
      <c r="F4" s="6">
        <v>34.14</v>
      </c>
      <c r="G4" s="6">
        <v>43.3</v>
      </c>
      <c r="H4" s="6">
        <v>0.74</v>
      </c>
    </row>
    <row r="5" spans="1:8">
      <c r="A5" t="s">
        <v>32</v>
      </c>
      <c r="B5" t="s">
        <v>33</v>
      </c>
      <c r="C5">
        <v>2</v>
      </c>
      <c r="D5" s="5">
        <v>1.4882</v>
      </c>
      <c r="E5" s="5">
        <v>1.4520999999999999</v>
      </c>
      <c r="F5" s="6">
        <v>46.8</v>
      </c>
      <c r="G5" s="6">
        <v>49.7</v>
      </c>
      <c r="H5" s="6">
        <v>0.74</v>
      </c>
    </row>
    <row r="6" spans="1:8">
      <c r="A6" t="s">
        <v>32</v>
      </c>
      <c r="B6" t="s">
        <v>33</v>
      </c>
      <c r="C6">
        <v>3</v>
      </c>
      <c r="D6" s="5">
        <v>1.4004000000000001</v>
      </c>
      <c r="E6" s="5">
        <v>1.3609</v>
      </c>
      <c r="F6" s="6">
        <v>50.25</v>
      </c>
      <c r="G6" s="6">
        <v>52.3</v>
      </c>
      <c r="H6" s="6">
        <v>0.74</v>
      </c>
    </row>
    <row r="7" spans="1:8">
      <c r="A7" t="s">
        <v>32</v>
      </c>
      <c r="B7" t="s">
        <v>33</v>
      </c>
      <c r="C7">
        <v>4</v>
      </c>
      <c r="D7" s="5">
        <v>1.2555000000000001</v>
      </c>
      <c r="E7" s="5">
        <v>1.2204999999999999</v>
      </c>
      <c r="F7" s="6">
        <v>55.74</v>
      </c>
      <c r="G7" s="6">
        <v>57.5</v>
      </c>
      <c r="H7" s="6">
        <v>0.74</v>
      </c>
    </row>
    <row r="8" spans="1:8">
      <c r="A8" t="s">
        <v>32</v>
      </c>
      <c r="B8" t="s">
        <v>33</v>
      </c>
      <c r="C8">
        <v>5</v>
      </c>
      <c r="D8" s="5">
        <v>1.1597</v>
      </c>
      <c r="E8" s="5">
        <v>1.2726</v>
      </c>
      <c r="F8" s="6">
        <v>58.92</v>
      </c>
      <c r="G8" s="6">
        <v>54.8</v>
      </c>
      <c r="H8" s="6">
        <v>0.74</v>
      </c>
    </row>
    <row r="9" spans="1:8">
      <c r="A9" t="s">
        <v>32</v>
      </c>
      <c r="B9" t="s">
        <v>33</v>
      </c>
      <c r="C9">
        <v>6</v>
      </c>
      <c r="D9" s="5">
        <v>1.292</v>
      </c>
      <c r="E9" s="5">
        <v>1.3616999999999999</v>
      </c>
      <c r="F9" s="6">
        <v>54.11</v>
      </c>
      <c r="G9" s="6">
        <v>52</v>
      </c>
      <c r="H9" s="6">
        <v>0.74</v>
      </c>
    </row>
    <row r="10" spans="1:8">
      <c r="A10" t="s">
        <v>32</v>
      </c>
      <c r="B10" t="s">
        <v>33</v>
      </c>
      <c r="C10">
        <v>7</v>
      </c>
      <c r="D10" s="5">
        <v>1.3282</v>
      </c>
      <c r="E10" s="5">
        <v>1.335</v>
      </c>
      <c r="F10" s="6">
        <v>52.93</v>
      </c>
      <c r="G10" s="6">
        <v>53.8</v>
      </c>
      <c r="H10" s="6">
        <v>0.74</v>
      </c>
    </row>
    <row r="11" spans="1:8">
      <c r="A11" t="s">
        <v>32</v>
      </c>
      <c r="B11" t="s">
        <v>33</v>
      </c>
      <c r="C11">
        <v>8</v>
      </c>
      <c r="D11" s="5">
        <v>1.2150000000000001</v>
      </c>
      <c r="E11" s="5">
        <v>1.2685</v>
      </c>
      <c r="F11" s="6">
        <v>56.99</v>
      </c>
      <c r="G11" s="6">
        <v>55.3</v>
      </c>
      <c r="H11" s="6">
        <v>0.74</v>
      </c>
    </row>
    <row r="12" spans="1:8">
      <c r="A12" t="s">
        <v>32</v>
      </c>
      <c r="B12" t="s">
        <v>33</v>
      </c>
      <c r="C12">
        <v>9</v>
      </c>
      <c r="D12" s="5">
        <v>1.0771999999999999</v>
      </c>
      <c r="E12" s="5">
        <v>1.2988999999999999</v>
      </c>
      <c r="F12" s="6">
        <v>62.17</v>
      </c>
      <c r="G12" s="6">
        <v>54.2</v>
      </c>
      <c r="H12" s="6">
        <v>0.74</v>
      </c>
    </row>
    <row r="13" spans="1:8">
      <c r="A13" t="s">
        <v>32</v>
      </c>
      <c r="B13" t="s">
        <v>33</v>
      </c>
      <c r="C13">
        <v>10</v>
      </c>
      <c r="D13" s="5">
        <v>1.2256</v>
      </c>
      <c r="E13" s="5">
        <v>1.3214999999999999</v>
      </c>
      <c r="F13" s="6">
        <v>56.4</v>
      </c>
      <c r="G13" s="6">
        <v>52.1</v>
      </c>
      <c r="H13" s="6">
        <v>0.74</v>
      </c>
    </row>
    <row r="14" spans="1:8">
      <c r="A14" t="s">
        <v>35</v>
      </c>
      <c r="B14" t="s">
        <v>36</v>
      </c>
      <c r="C14">
        <v>1</v>
      </c>
      <c r="D14" s="5">
        <v>1.4305000000000001</v>
      </c>
      <c r="E14" s="5">
        <v>1.1332</v>
      </c>
      <c r="F14" s="6">
        <v>48.6</v>
      </c>
      <c r="G14" s="6">
        <v>59.8</v>
      </c>
      <c r="H14" s="6">
        <v>3.96</v>
      </c>
    </row>
    <row r="15" spans="1:8">
      <c r="A15" t="s">
        <v>35</v>
      </c>
      <c r="B15" t="s">
        <v>36</v>
      </c>
      <c r="C15">
        <v>2</v>
      </c>
      <c r="D15" s="5">
        <v>1.0444</v>
      </c>
      <c r="E15" s="5">
        <v>0.98170000000000002</v>
      </c>
      <c r="F15" s="6">
        <v>62.82</v>
      </c>
      <c r="G15" s="6">
        <v>64.400000000000006</v>
      </c>
      <c r="H15" s="6">
        <v>3.96</v>
      </c>
    </row>
    <row r="16" spans="1:8">
      <c r="A16" t="s">
        <v>35</v>
      </c>
      <c r="B16" t="s">
        <v>36</v>
      </c>
      <c r="C16">
        <v>3</v>
      </c>
      <c r="D16" s="5">
        <v>0.87519999999999998</v>
      </c>
      <c r="E16" s="5">
        <v>0.90300000000000002</v>
      </c>
      <c r="F16" s="6">
        <v>68.819999999999993</v>
      </c>
      <c r="G16" s="6">
        <v>69</v>
      </c>
      <c r="H16" s="6">
        <v>3.96</v>
      </c>
    </row>
    <row r="17" spans="1:8">
      <c r="A17" t="s">
        <v>35</v>
      </c>
      <c r="B17" t="s">
        <v>36</v>
      </c>
      <c r="C17">
        <v>4</v>
      </c>
      <c r="D17" s="5">
        <v>0.74970000000000003</v>
      </c>
      <c r="E17" s="5">
        <v>0.84619999999999995</v>
      </c>
      <c r="F17" s="6">
        <v>73.52</v>
      </c>
      <c r="G17" s="6">
        <v>70.900000000000006</v>
      </c>
      <c r="H17" s="6">
        <v>3.96</v>
      </c>
    </row>
    <row r="18" spans="1:8">
      <c r="A18" t="s">
        <v>35</v>
      </c>
      <c r="B18" t="s">
        <v>36</v>
      </c>
      <c r="C18">
        <v>5</v>
      </c>
      <c r="D18" s="5">
        <v>0.64790000000000003</v>
      </c>
      <c r="E18" s="5">
        <v>0.87560000000000004</v>
      </c>
      <c r="F18" s="6">
        <v>77.13</v>
      </c>
      <c r="G18" s="6">
        <v>69.3</v>
      </c>
      <c r="H18" s="6">
        <v>3.96</v>
      </c>
    </row>
    <row r="19" spans="1:8">
      <c r="A19" t="s">
        <v>35</v>
      </c>
      <c r="B19" t="s">
        <v>36</v>
      </c>
      <c r="C19">
        <v>6</v>
      </c>
      <c r="D19" s="5">
        <v>0.55200000000000005</v>
      </c>
      <c r="E19" s="5">
        <v>0.89319999999999999</v>
      </c>
      <c r="F19" s="6">
        <v>80.64</v>
      </c>
      <c r="G19" s="6">
        <v>69.900000000000006</v>
      </c>
      <c r="H19" s="6">
        <v>3.96</v>
      </c>
    </row>
    <row r="20" spans="1:8">
      <c r="A20" t="s">
        <v>35</v>
      </c>
      <c r="B20" t="s">
        <v>36</v>
      </c>
      <c r="C20">
        <v>7</v>
      </c>
      <c r="D20" s="5">
        <v>0.46710000000000002</v>
      </c>
      <c r="E20" s="5">
        <v>0.91969999999999996</v>
      </c>
      <c r="F20" s="6">
        <v>83.44</v>
      </c>
      <c r="G20" s="6">
        <v>72.099999999999994</v>
      </c>
      <c r="H20" s="6">
        <v>3.96</v>
      </c>
    </row>
    <row r="21" spans="1:8">
      <c r="A21" t="s">
        <v>35</v>
      </c>
      <c r="B21" t="s">
        <v>36</v>
      </c>
      <c r="C21">
        <v>8</v>
      </c>
      <c r="D21" s="5">
        <v>0.3846</v>
      </c>
      <c r="E21" s="5">
        <v>1.0161</v>
      </c>
      <c r="F21" s="6">
        <v>86.34</v>
      </c>
      <c r="G21" s="6">
        <v>70.7</v>
      </c>
      <c r="H21" s="6">
        <v>3.96</v>
      </c>
    </row>
    <row r="22" spans="1:8">
      <c r="A22" t="s">
        <v>35</v>
      </c>
      <c r="B22" t="s">
        <v>36</v>
      </c>
      <c r="C22">
        <v>9</v>
      </c>
      <c r="D22" s="5">
        <v>0.30299999999999999</v>
      </c>
      <c r="E22" s="5">
        <v>1.125</v>
      </c>
      <c r="F22" s="6">
        <v>89.27</v>
      </c>
      <c r="G22" s="6">
        <v>71.099999999999994</v>
      </c>
      <c r="H22" s="6">
        <v>3.96</v>
      </c>
    </row>
    <row r="23" spans="1:8">
      <c r="A23" t="s">
        <v>35</v>
      </c>
      <c r="B23" t="s">
        <v>36</v>
      </c>
      <c r="C23">
        <v>10</v>
      </c>
      <c r="D23" s="5">
        <v>0.2351</v>
      </c>
      <c r="E23" s="5">
        <v>1.2685</v>
      </c>
      <c r="F23" s="6">
        <v>91.73</v>
      </c>
      <c r="G23" s="6">
        <v>70.099999999999994</v>
      </c>
      <c r="H23" s="6">
        <v>3.96</v>
      </c>
    </row>
    <row r="24" spans="1:8">
      <c r="A24" t="s">
        <v>35</v>
      </c>
      <c r="B24" t="s">
        <v>36</v>
      </c>
      <c r="C24">
        <v>11</v>
      </c>
      <c r="D24" s="5">
        <v>0.19109999999999999</v>
      </c>
      <c r="E24" s="5">
        <v>1.3140000000000001</v>
      </c>
      <c r="F24" s="6">
        <v>93.11</v>
      </c>
      <c r="G24" s="6">
        <v>69.3</v>
      </c>
      <c r="H24" s="6">
        <v>3.96</v>
      </c>
    </row>
    <row r="25" spans="1:8">
      <c r="A25" t="s">
        <v>35</v>
      </c>
      <c r="B25" t="s">
        <v>36</v>
      </c>
      <c r="C25">
        <v>12</v>
      </c>
      <c r="D25" s="5">
        <v>0.1457</v>
      </c>
      <c r="E25" s="5">
        <v>1.5109999999999999</v>
      </c>
      <c r="F25" s="6">
        <v>94.95</v>
      </c>
      <c r="G25" s="6">
        <v>70.099999999999994</v>
      </c>
      <c r="H25" s="6">
        <v>3.96</v>
      </c>
    </row>
    <row r="26" spans="1:8">
      <c r="A26" t="s">
        <v>35</v>
      </c>
      <c r="B26" t="s">
        <v>36</v>
      </c>
      <c r="C26">
        <v>13</v>
      </c>
      <c r="D26" s="5">
        <v>0.13439999999999999</v>
      </c>
      <c r="E26" s="5">
        <v>1.6425000000000001</v>
      </c>
      <c r="F26" s="6">
        <v>95.2</v>
      </c>
      <c r="G26" s="6">
        <v>69.7</v>
      </c>
      <c r="H26" s="6">
        <v>3.96</v>
      </c>
    </row>
    <row r="27" spans="1:8">
      <c r="A27" t="s">
        <v>35</v>
      </c>
      <c r="B27" t="s">
        <v>36</v>
      </c>
      <c r="C27">
        <v>14</v>
      </c>
      <c r="D27" s="5">
        <v>0.10920000000000001</v>
      </c>
      <c r="E27" s="5">
        <v>1.7097</v>
      </c>
      <c r="F27" s="6">
        <v>96.16</v>
      </c>
      <c r="G27" s="6">
        <v>69.7</v>
      </c>
      <c r="H27" s="6">
        <v>3.96</v>
      </c>
    </row>
    <row r="28" spans="1:8">
      <c r="A28" t="s">
        <v>35</v>
      </c>
      <c r="B28" t="s">
        <v>36</v>
      </c>
      <c r="C28">
        <v>15</v>
      </c>
      <c r="D28" s="5">
        <v>9.8000000000000004E-2</v>
      </c>
      <c r="E28" s="5">
        <v>1.8057000000000001</v>
      </c>
      <c r="F28" s="6">
        <v>96.64</v>
      </c>
      <c r="G28" s="6">
        <v>69.5</v>
      </c>
      <c r="H28" s="6">
        <v>3.96</v>
      </c>
    </row>
    <row r="29" spans="1:8">
      <c r="A29" t="s">
        <v>35</v>
      </c>
      <c r="B29" t="s">
        <v>36</v>
      </c>
      <c r="C29">
        <v>16</v>
      </c>
      <c r="D29" s="5">
        <v>9.0899999999999995E-2</v>
      </c>
      <c r="E29" s="5">
        <v>1.915</v>
      </c>
      <c r="F29" s="6">
        <v>96.89</v>
      </c>
      <c r="G29" s="6">
        <v>70</v>
      </c>
      <c r="H29" s="6">
        <v>3.96</v>
      </c>
    </row>
    <row r="30" spans="1:8">
      <c r="A30" t="s">
        <v>35</v>
      </c>
      <c r="B30" t="s">
        <v>36</v>
      </c>
      <c r="C30">
        <v>17</v>
      </c>
      <c r="D30" s="5">
        <v>7.8200000000000006E-2</v>
      </c>
      <c r="E30" s="5">
        <v>2.14</v>
      </c>
      <c r="F30" s="6">
        <v>97.32</v>
      </c>
      <c r="G30" s="6">
        <v>67.7</v>
      </c>
      <c r="H30" s="6">
        <v>3.96</v>
      </c>
    </row>
    <row r="31" spans="1:8">
      <c r="A31" t="s">
        <v>35</v>
      </c>
      <c r="B31" t="s">
        <v>36</v>
      </c>
      <c r="C31">
        <v>18</v>
      </c>
      <c r="D31" s="5">
        <v>8.1600000000000006E-2</v>
      </c>
      <c r="E31" s="5">
        <v>2.0560999999999998</v>
      </c>
      <c r="F31" s="6">
        <v>97.18</v>
      </c>
      <c r="G31" s="6">
        <v>68.5</v>
      </c>
      <c r="H31" s="6">
        <v>3.96</v>
      </c>
    </row>
    <row r="32" spans="1:8">
      <c r="A32" t="s">
        <v>35</v>
      </c>
      <c r="B32" t="s">
        <v>36</v>
      </c>
      <c r="C32">
        <v>19</v>
      </c>
      <c r="D32" s="5">
        <v>7.8399999999999997E-2</v>
      </c>
      <c r="E32" s="5">
        <v>2.2688000000000001</v>
      </c>
      <c r="F32" s="6">
        <v>97.21</v>
      </c>
      <c r="G32" s="6">
        <v>67.8</v>
      </c>
      <c r="H32" s="6">
        <v>3.96</v>
      </c>
    </row>
    <row r="33" spans="1:8">
      <c r="A33" t="s">
        <v>35</v>
      </c>
      <c r="B33" t="s">
        <v>36</v>
      </c>
      <c r="C33">
        <v>20</v>
      </c>
      <c r="D33" s="5">
        <v>6.1899999999999997E-2</v>
      </c>
      <c r="E33" s="5">
        <v>2.2900999999999998</v>
      </c>
      <c r="F33" s="6">
        <v>97.95</v>
      </c>
      <c r="G33" s="6">
        <v>67.900000000000006</v>
      </c>
      <c r="H33" s="6">
        <v>3.96</v>
      </c>
    </row>
    <row r="34" spans="1:8">
      <c r="A34" t="s">
        <v>35</v>
      </c>
      <c r="B34" t="s">
        <v>36</v>
      </c>
      <c r="C34">
        <v>21</v>
      </c>
      <c r="D34" s="5">
        <v>6.6799999999999998E-2</v>
      </c>
      <c r="E34" s="5">
        <v>2.4296000000000002</v>
      </c>
      <c r="F34" s="6">
        <v>97.72</v>
      </c>
      <c r="G34" s="6">
        <v>68.400000000000006</v>
      </c>
      <c r="H34" s="6">
        <v>3.96</v>
      </c>
    </row>
    <row r="35" spans="1:8">
      <c r="A35" t="s">
        <v>35</v>
      </c>
      <c r="B35" t="s">
        <v>36</v>
      </c>
      <c r="C35">
        <v>22</v>
      </c>
      <c r="D35" s="5">
        <v>7.3999999999999996E-2</v>
      </c>
      <c r="E35" s="5">
        <v>2.2334999999999998</v>
      </c>
      <c r="F35" s="6">
        <v>97.4</v>
      </c>
      <c r="G35" s="6">
        <v>69.5</v>
      </c>
      <c r="H35" s="6">
        <v>3.96</v>
      </c>
    </row>
    <row r="36" spans="1:8">
      <c r="A36" t="s">
        <v>35</v>
      </c>
      <c r="B36" t="s">
        <v>36</v>
      </c>
      <c r="C36">
        <v>23</v>
      </c>
      <c r="D36" s="5">
        <v>4.6899999999999997E-2</v>
      </c>
      <c r="E36" s="5">
        <v>2.3672</v>
      </c>
      <c r="F36" s="6">
        <v>98.41</v>
      </c>
      <c r="G36" s="6">
        <v>70.5</v>
      </c>
      <c r="H36" s="6">
        <v>3.96</v>
      </c>
    </row>
    <row r="37" spans="1:8">
      <c r="A37" t="s">
        <v>35</v>
      </c>
      <c r="B37" t="s">
        <v>36</v>
      </c>
      <c r="C37">
        <v>24</v>
      </c>
      <c r="D37" s="5">
        <v>0.05</v>
      </c>
      <c r="E37" s="5">
        <v>2.4260999999999999</v>
      </c>
      <c r="F37" s="6">
        <v>98.22</v>
      </c>
      <c r="G37" s="6">
        <v>69</v>
      </c>
      <c r="H37" s="6">
        <v>3.96</v>
      </c>
    </row>
    <row r="38" spans="1:8">
      <c r="A38" t="s">
        <v>35</v>
      </c>
      <c r="B38" t="s">
        <v>36</v>
      </c>
      <c r="C38">
        <v>25</v>
      </c>
      <c r="D38" s="5">
        <v>6.7500000000000004E-2</v>
      </c>
      <c r="E38" s="5">
        <v>2.4108999999999998</v>
      </c>
      <c r="F38" s="6">
        <v>97.65</v>
      </c>
      <c r="G38" s="6">
        <v>69.099999999999994</v>
      </c>
      <c r="H38" s="6">
        <v>3.96</v>
      </c>
    </row>
    <row r="39" spans="1:8">
      <c r="A39" t="s">
        <v>38</v>
      </c>
      <c r="B39" t="s">
        <v>39</v>
      </c>
      <c r="C39">
        <v>1</v>
      </c>
      <c r="D39" s="5">
        <v>1.7152000000000001</v>
      </c>
      <c r="E39" s="5">
        <v>1.423</v>
      </c>
      <c r="F39" s="6">
        <v>35.72</v>
      </c>
      <c r="G39" s="6">
        <v>48.5</v>
      </c>
      <c r="H39" s="6">
        <v>20.62</v>
      </c>
    </row>
    <row r="40" spans="1:8">
      <c r="A40" t="s">
        <v>38</v>
      </c>
      <c r="B40" t="s">
        <v>39</v>
      </c>
      <c r="C40">
        <v>2</v>
      </c>
      <c r="D40" s="5">
        <v>1.2508999999999999</v>
      </c>
      <c r="E40" s="5">
        <v>1.1785000000000001</v>
      </c>
      <c r="F40" s="6">
        <v>54.33</v>
      </c>
      <c r="G40" s="6">
        <v>59.5</v>
      </c>
      <c r="H40" s="6">
        <v>20.62</v>
      </c>
    </row>
    <row r="41" spans="1:8">
      <c r="A41" t="s">
        <v>38</v>
      </c>
      <c r="B41" t="s">
        <v>39</v>
      </c>
      <c r="C41">
        <v>3</v>
      </c>
      <c r="D41" s="5">
        <v>1.0105</v>
      </c>
      <c r="E41" s="5">
        <v>0.92620000000000002</v>
      </c>
      <c r="F41" s="6">
        <v>63.66</v>
      </c>
      <c r="G41" s="6">
        <v>66.5</v>
      </c>
      <c r="H41" s="6">
        <v>20.62</v>
      </c>
    </row>
    <row r="42" spans="1:8">
      <c r="A42" t="s">
        <v>38</v>
      </c>
      <c r="B42" t="s">
        <v>39</v>
      </c>
      <c r="C42">
        <v>4</v>
      </c>
      <c r="D42" s="5">
        <v>0.86470000000000002</v>
      </c>
      <c r="E42" s="5">
        <v>0.88249999999999995</v>
      </c>
      <c r="F42" s="6">
        <v>69.19</v>
      </c>
      <c r="G42" s="6">
        <v>68.2</v>
      </c>
      <c r="H42" s="6">
        <v>20.62</v>
      </c>
    </row>
    <row r="43" spans="1:8">
      <c r="A43" t="s">
        <v>38</v>
      </c>
      <c r="B43" t="s">
        <v>39</v>
      </c>
      <c r="C43">
        <v>5</v>
      </c>
      <c r="D43" s="5">
        <v>0.74519999999999997</v>
      </c>
      <c r="E43" s="5">
        <v>0.84109999999999996</v>
      </c>
      <c r="F43" s="6">
        <v>73.66</v>
      </c>
      <c r="G43" s="6">
        <v>69.8</v>
      </c>
      <c r="H43" s="6">
        <v>20.62</v>
      </c>
    </row>
    <row r="44" spans="1:8">
      <c r="A44" t="s">
        <v>38</v>
      </c>
      <c r="B44" t="s">
        <v>39</v>
      </c>
      <c r="C44">
        <v>6</v>
      </c>
      <c r="D44" s="5">
        <v>0.63649999999999995</v>
      </c>
      <c r="E44" s="5">
        <v>0.76990000000000003</v>
      </c>
      <c r="F44" s="6">
        <v>77.59</v>
      </c>
      <c r="G44" s="6">
        <v>72.599999999999994</v>
      </c>
      <c r="H44" s="6">
        <v>20.62</v>
      </c>
    </row>
    <row r="45" spans="1:8">
      <c r="A45" t="s">
        <v>38</v>
      </c>
      <c r="B45" t="s">
        <v>39</v>
      </c>
      <c r="C45">
        <v>7</v>
      </c>
      <c r="D45" s="5">
        <v>0.53959999999999997</v>
      </c>
      <c r="E45" s="5">
        <v>0.82479999999999998</v>
      </c>
      <c r="F45" s="6">
        <v>80.91</v>
      </c>
      <c r="G45" s="6">
        <v>72.900000000000006</v>
      </c>
      <c r="H45" s="6">
        <v>20.62</v>
      </c>
    </row>
    <row r="46" spans="1:8">
      <c r="A46" t="s">
        <v>38</v>
      </c>
      <c r="B46" t="s">
        <v>39</v>
      </c>
      <c r="C46">
        <v>8</v>
      </c>
      <c r="D46" s="5">
        <v>0.45279999999999998</v>
      </c>
      <c r="E46" s="5">
        <v>0.80740000000000001</v>
      </c>
      <c r="F46" s="6">
        <v>84.17</v>
      </c>
      <c r="G46" s="6">
        <v>74.400000000000006</v>
      </c>
      <c r="H46" s="6">
        <v>20.62</v>
      </c>
    </row>
    <row r="47" spans="1:8">
      <c r="A47" t="s">
        <v>38</v>
      </c>
      <c r="B47" t="s">
        <v>39</v>
      </c>
      <c r="C47">
        <v>9</v>
      </c>
      <c r="D47" s="5">
        <v>0.3876</v>
      </c>
      <c r="E47" s="5">
        <v>0.82909999999999995</v>
      </c>
      <c r="F47" s="6">
        <v>86.22</v>
      </c>
      <c r="G47" s="6">
        <v>76</v>
      </c>
      <c r="H47" s="6">
        <v>20.62</v>
      </c>
    </row>
    <row r="48" spans="1:8">
      <c r="A48" t="s">
        <v>38</v>
      </c>
      <c r="B48" t="s">
        <v>39</v>
      </c>
      <c r="C48">
        <v>10</v>
      </c>
      <c r="D48" s="5">
        <v>0.29880000000000001</v>
      </c>
      <c r="E48" s="5">
        <v>0.89649999999999996</v>
      </c>
      <c r="F48" s="6">
        <v>89.55</v>
      </c>
      <c r="G48" s="6">
        <v>75.7</v>
      </c>
      <c r="H48" s="6">
        <v>20.62</v>
      </c>
    </row>
    <row r="49" spans="1:8">
      <c r="A49" t="s">
        <v>38</v>
      </c>
      <c r="B49" t="s">
        <v>39</v>
      </c>
      <c r="C49">
        <v>11</v>
      </c>
      <c r="D49" s="5">
        <v>0.251</v>
      </c>
      <c r="E49" s="5">
        <v>0.95450000000000002</v>
      </c>
      <c r="F49" s="6">
        <v>91.13</v>
      </c>
      <c r="G49" s="6">
        <v>73.900000000000006</v>
      </c>
      <c r="H49" s="6">
        <v>20.62</v>
      </c>
    </row>
    <row r="50" spans="1:8">
      <c r="A50" t="s">
        <v>38</v>
      </c>
      <c r="B50" t="s">
        <v>39</v>
      </c>
      <c r="C50">
        <v>12</v>
      </c>
      <c r="D50" s="5">
        <v>0.1946</v>
      </c>
      <c r="E50" s="5">
        <v>1.0072000000000001</v>
      </c>
      <c r="F50" s="6">
        <v>93.09</v>
      </c>
      <c r="G50" s="6">
        <v>74.8</v>
      </c>
      <c r="H50" s="6">
        <v>20.62</v>
      </c>
    </row>
    <row r="51" spans="1:8">
      <c r="A51" t="s">
        <v>38</v>
      </c>
      <c r="B51" t="s">
        <v>39</v>
      </c>
      <c r="C51">
        <v>13</v>
      </c>
      <c r="D51" s="5">
        <v>0.1704</v>
      </c>
      <c r="E51" s="5">
        <v>1.1775</v>
      </c>
      <c r="F51" s="6">
        <v>94</v>
      </c>
      <c r="G51" s="6">
        <v>74.400000000000006</v>
      </c>
      <c r="H51" s="6">
        <v>20.62</v>
      </c>
    </row>
    <row r="52" spans="1:8">
      <c r="A52" t="s">
        <v>38</v>
      </c>
      <c r="B52" t="s">
        <v>39</v>
      </c>
      <c r="C52">
        <v>14</v>
      </c>
      <c r="D52" s="5">
        <v>0.152</v>
      </c>
      <c r="E52" s="5">
        <v>1.1423000000000001</v>
      </c>
      <c r="F52" s="6">
        <v>94.64</v>
      </c>
      <c r="G52" s="6">
        <v>73.599999999999994</v>
      </c>
      <c r="H52" s="6">
        <v>20.62</v>
      </c>
    </row>
    <row r="53" spans="1:8">
      <c r="A53" t="s">
        <v>38</v>
      </c>
      <c r="B53" t="s">
        <v>39</v>
      </c>
      <c r="C53">
        <v>15</v>
      </c>
      <c r="D53" s="5">
        <v>0.12859999999999999</v>
      </c>
      <c r="E53" s="5">
        <v>1.1033999999999999</v>
      </c>
      <c r="F53" s="6">
        <v>95.54</v>
      </c>
      <c r="G53" s="6">
        <v>74.900000000000006</v>
      </c>
      <c r="H53" s="6">
        <v>20.62</v>
      </c>
    </row>
    <row r="54" spans="1:8">
      <c r="A54" t="s">
        <v>38</v>
      </c>
      <c r="B54" t="s">
        <v>39</v>
      </c>
      <c r="C54">
        <v>16</v>
      </c>
      <c r="D54" s="5">
        <v>0.1137</v>
      </c>
      <c r="E54" s="5">
        <v>1.3053999999999999</v>
      </c>
      <c r="F54" s="6">
        <v>96.02</v>
      </c>
      <c r="G54" s="6">
        <v>74.3</v>
      </c>
      <c r="H54" s="6">
        <v>20.62</v>
      </c>
    </row>
    <row r="55" spans="1:8">
      <c r="A55" t="s">
        <v>38</v>
      </c>
      <c r="B55" t="s">
        <v>39</v>
      </c>
      <c r="C55">
        <v>17</v>
      </c>
      <c r="D55" s="5">
        <v>0.10979999999999999</v>
      </c>
      <c r="E55" s="5">
        <v>1.1932</v>
      </c>
      <c r="F55" s="6">
        <v>96.22</v>
      </c>
      <c r="G55" s="6">
        <v>75.5</v>
      </c>
      <c r="H55" s="6">
        <v>20.62</v>
      </c>
    </row>
    <row r="56" spans="1:8">
      <c r="A56" t="s">
        <v>38</v>
      </c>
      <c r="B56" t="s">
        <v>39</v>
      </c>
      <c r="C56">
        <v>18</v>
      </c>
      <c r="D56" s="5">
        <v>9.5600000000000004E-2</v>
      </c>
      <c r="E56" s="5">
        <v>1.4016</v>
      </c>
      <c r="F56" s="6">
        <v>96.74</v>
      </c>
      <c r="G56" s="6">
        <v>73.8</v>
      </c>
      <c r="H56" s="6">
        <v>20.62</v>
      </c>
    </row>
    <row r="57" spans="1:8">
      <c r="A57" t="s">
        <v>38</v>
      </c>
      <c r="B57" t="s">
        <v>39</v>
      </c>
      <c r="C57">
        <v>19</v>
      </c>
      <c r="D57" s="5">
        <v>9.5899999999999999E-2</v>
      </c>
      <c r="E57" s="5">
        <v>1.3666</v>
      </c>
      <c r="F57" s="6">
        <v>96.67</v>
      </c>
      <c r="G57" s="6">
        <v>74.099999999999994</v>
      </c>
      <c r="H57" s="6">
        <v>20.62</v>
      </c>
    </row>
    <row r="58" spans="1:8">
      <c r="A58" t="s">
        <v>38</v>
      </c>
      <c r="B58" t="s">
        <v>39</v>
      </c>
      <c r="C58">
        <v>20</v>
      </c>
      <c r="D58" s="5">
        <v>8.3799999999999999E-2</v>
      </c>
      <c r="E58" s="5">
        <v>1.5169999999999999</v>
      </c>
      <c r="F58" s="6">
        <v>97.17</v>
      </c>
      <c r="G58" s="6">
        <v>74.599999999999994</v>
      </c>
      <c r="H58" s="6">
        <v>20.62</v>
      </c>
    </row>
    <row r="59" spans="1:8">
      <c r="A59" t="s">
        <v>38</v>
      </c>
      <c r="B59" t="s">
        <v>39</v>
      </c>
      <c r="C59">
        <v>21</v>
      </c>
      <c r="D59" s="5">
        <v>7.9299999999999995E-2</v>
      </c>
      <c r="E59" s="5">
        <v>1.4346000000000001</v>
      </c>
      <c r="F59" s="6">
        <v>97.37</v>
      </c>
      <c r="G59" s="6">
        <v>75.2</v>
      </c>
      <c r="H59" s="6">
        <v>20.62</v>
      </c>
    </row>
    <row r="60" spans="1:8">
      <c r="A60" t="s">
        <v>38</v>
      </c>
      <c r="B60" t="s">
        <v>39</v>
      </c>
      <c r="C60">
        <v>22</v>
      </c>
      <c r="D60" s="5">
        <v>8.3099999999999993E-2</v>
      </c>
      <c r="E60" s="5">
        <v>1.4438</v>
      </c>
      <c r="F60" s="6">
        <v>97.12</v>
      </c>
      <c r="G60" s="6">
        <v>73.8</v>
      </c>
      <c r="H60" s="6">
        <v>20.62</v>
      </c>
    </row>
    <row r="61" spans="1:8">
      <c r="A61" t="s">
        <v>38</v>
      </c>
      <c r="B61" t="s">
        <v>39</v>
      </c>
      <c r="C61">
        <v>23</v>
      </c>
      <c r="D61" s="5">
        <v>8.4500000000000006E-2</v>
      </c>
      <c r="E61" s="5">
        <v>1.4710000000000001</v>
      </c>
      <c r="F61" s="6">
        <v>97.15</v>
      </c>
      <c r="G61" s="6">
        <v>73.8</v>
      </c>
      <c r="H61" s="6">
        <v>20.62</v>
      </c>
    </row>
    <row r="62" spans="1:8">
      <c r="A62" t="s">
        <v>38</v>
      </c>
      <c r="B62" t="s">
        <v>39</v>
      </c>
      <c r="C62">
        <v>24</v>
      </c>
      <c r="D62" s="5">
        <v>7.8899999999999998E-2</v>
      </c>
      <c r="E62" s="5">
        <v>1.5333000000000001</v>
      </c>
      <c r="F62" s="6">
        <v>97.28</v>
      </c>
      <c r="G62" s="6">
        <v>74</v>
      </c>
      <c r="H62" s="6">
        <v>20.62</v>
      </c>
    </row>
    <row r="63" spans="1:8">
      <c r="A63" t="s">
        <v>38</v>
      </c>
      <c r="B63" t="s">
        <v>39</v>
      </c>
      <c r="C63">
        <v>25</v>
      </c>
      <c r="D63" s="5">
        <v>7.7499999999999999E-2</v>
      </c>
      <c r="E63" s="5">
        <v>1.4793000000000001</v>
      </c>
      <c r="F63" s="6">
        <v>97.37</v>
      </c>
      <c r="G63" s="6">
        <v>73.7</v>
      </c>
      <c r="H63" s="6">
        <v>20.62</v>
      </c>
    </row>
    <row r="64" spans="1:8">
      <c r="A64" t="s">
        <v>41</v>
      </c>
      <c r="B64" t="s">
        <v>42</v>
      </c>
      <c r="C64">
        <v>1</v>
      </c>
      <c r="D64" s="5">
        <v>1.3762000000000001</v>
      </c>
      <c r="E64" s="5">
        <v>1.157</v>
      </c>
      <c r="F64" s="6">
        <v>50.48</v>
      </c>
      <c r="G64" s="6">
        <v>59.7</v>
      </c>
      <c r="H64" s="6">
        <v>13.77</v>
      </c>
    </row>
    <row r="65" spans="1:8">
      <c r="A65" t="s">
        <v>41</v>
      </c>
      <c r="B65" t="s">
        <v>42</v>
      </c>
      <c r="C65">
        <v>2</v>
      </c>
      <c r="D65" s="5">
        <v>0.97829999999999995</v>
      </c>
      <c r="E65" s="5">
        <v>0.88339999999999996</v>
      </c>
      <c r="F65" s="6">
        <v>66.099999999999994</v>
      </c>
      <c r="G65" s="6">
        <v>70.2</v>
      </c>
      <c r="H65" s="6">
        <v>13.77</v>
      </c>
    </row>
    <row r="66" spans="1:8">
      <c r="A66" t="s">
        <v>41</v>
      </c>
      <c r="B66" t="s">
        <v>42</v>
      </c>
      <c r="C66">
        <v>3</v>
      </c>
      <c r="D66" s="5">
        <v>0.81259999999999999</v>
      </c>
      <c r="E66" s="5">
        <v>0.83730000000000004</v>
      </c>
      <c r="F66" s="6">
        <v>72.150000000000006</v>
      </c>
      <c r="G66" s="6">
        <v>70.099999999999994</v>
      </c>
      <c r="H66" s="6">
        <v>13.77</v>
      </c>
    </row>
    <row r="67" spans="1:8">
      <c r="A67" t="s">
        <v>41</v>
      </c>
      <c r="B67" t="s">
        <v>42</v>
      </c>
      <c r="C67">
        <v>4</v>
      </c>
      <c r="D67" s="5">
        <v>0.71209999999999996</v>
      </c>
      <c r="E67" s="5">
        <v>0.66169999999999995</v>
      </c>
      <c r="F67" s="6">
        <v>75.599999999999994</v>
      </c>
      <c r="G67" s="6">
        <v>77.900000000000006</v>
      </c>
      <c r="H67" s="6">
        <v>13.77</v>
      </c>
    </row>
    <row r="68" spans="1:8">
      <c r="A68" t="s">
        <v>41</v>
      </c>
      <c r="B68" t="s">
        <v>42</v>
      </c>
      <c r="C68">
        <v>5</v>
      </c>
      <c r="D68" s="5">
        <v>0.63049999999999995</v>
      </c>
      <c r="E68" s="5">
        <v>0.58850000000000002</v>
      </c>
      <c r="F68" s="6">
        <v>78.650000000000006</v>
      </c>
      <c r="G68" s="6">
        <v>80.3</v>
      </c>
      <c r="H68" s="6">
        <v>13.77</v>
      </c>
    </row>
    <row r="69" spans="1:8">
      <c r="A69" t="s">
        <v>41</v>
      </c>
      <c r="B69" t="s">
        <v>42</v>
      </c>
      <c r="C69">
        <v>6</v>
      </c>
      <c r="D69" s="5">
        <v>0.56669999999999998</v>
      </c>
      <c r="E69" s="5">
        <v>0.58499999999999996</v>
      </c>
      <c r="F69" s="6">
        <v>80.59</v>
      </c>
      <c r="G69" s="6">
        <v>81</v>
      </c>
      <c r="H69" s="6">
        <v>13.77</v>
      </c>
    </row>
    <row r="70" spans="1:8">
      <c r="A70" t="s">
        <v>41</v>
      </c>
      <c r="B70" t="s">
        <v>42</v>
      </c>
      <c r="C70">
        <v>7</v>
      </c>
      <c r="D70" s="5">
        <v>0.51500000000000001</v>
      </c>
      <c r="E70" s="5">
        <v>0.58699999999999997</v>
      </c>
      <c r="F70" s="6">
        <v>82.71</v>
      </c>
      <c r="G70" s="6">
        <v>81.400000000000006</v>
      </c>
      <c r="H70" s="6">
        <v>13.77</v>
      </c>
    </row>
    <row r="71" spans="1:8">
      <c r="A71" t="s">
        <v>41</v>
      </c>
      <c r="B71" t="s">
        <v>42</v>
      </c>
      <c r="C71">
        <v>8</v>
      </c>
      <c r="D71" s="5">
        <v>0.46300000000000002</v>
      </c>
      <c r="E71" s="5">
        <v>0.5625</v>
      </c>
      <c r="F71" s="6">
        <v>84.23</v>
      </c>
      <c r="G71" s="6">
        <v>81.900000000000006</v>
      </c>
      <c r="H71" s="6">
        <v>13.77</v>
      </c>
    </row>
    <row r="72" spans="1:8">
      <c r="A72" t="s">
        <v>41</v>
      </c>
      <c r="B72" t="s">
        <v>42</v>
      </c>
      <c r="C72">
        <v>9</v>
      </c>
      <c r="D72" s="5">
        <v>0.42559999999999998</v>
      </c>
      <c r="E72" s="5">
        <v>0.54859999999999998</v>
      </c>
      <c r="F72" s="6">
        <v>85.37</v>
      </c>
      <c r="G72" s="6">
        <v>82.6</v>
      </c>
      <c r="H72" s="6">
        <v>13.77</v>
      </c>
    </row>
    <row r="73" spans="1:8">
      <c r="A73" t="s">
        <v>41</v>
      </c>
      <c r="B73" t="s">
        <v>42</v>
      </c>
      <c r="C73">
        <v>10</v>
      </c>
      <c r="D73" s="5">
        <v>0.38769999999999999</v>
      </c>
      <c r="E73" s="5">
        <v>0.60309999999999997</v>
      </c>
      <c r="F73" s="6">
        <v>86.87</v>
      </c>
      <c r="G73" s="6">
        <v>81.3</v>
      </c>
      <c r="H73" s="6">
        <v>13.77</v>
      </c>
    </row>
    <row r="74" spans="1:8">
      <c r="A74" t="s">
        <v>41</v>
      </c>
      <c r="B74" t="s">
        <v>42</v>
      </c>
      <c r="C74">
        <v>11</v>
      </c>
      <c r="D74" s="5">
        <v>0.3569</v>
      </c>
      <c r="E74" s="5">
        <v>0.59560000000000002</v>
      </c>
      <c r="F74" s="6">
        <v>87.84</v>
      </c>
      <c r="G74" s="6">
        <v>81.599999999999994</v>
      </c>
      <c r="H74" s="6">
        <v>13.77</v>
      </c>
    </row>
    <row r="75" spans="1:8">
      <c r="A75" t="s">
        <v>41</v>
      </c>
      <c r="B75" t="s">
        <v>42</v>
      </c>
      <c r="C75">
        <v>12</v>
      </c>
      <c r="D75" s="5">
        <v>0.31809999999999999</v>
      </c>
      <c r="E75" s="5">
        <v>0.53259999999999996</v>
      </c>
      <c r="F75" s="6">
        <v>89.1</v>
      </c>
      <c r="G75" s="6">
        <v>84.2</v>
      </c>
      <c r="H75" s="6">
        <v>13.77</v>
      </c>
    </row>
    <row r="76" spans="1:8">
      <c r="A76" t="s">
        <v>41</v>
      </c>
      <c r="B76" t="s">
        <v>42</v>
      </c>
      <c r="C76">
        <v>13</v>
      </c>
      <c r="D76" s="5">
        <v>0.29299999999999998</v>
      </c>
      <c r="E76" s="5">
        <v>0.5917</v>
      </c>
      <c r="F76" s="6">
        <v>89.95</v>
      </c>
      <c r="G76" s="6">
        <v>82</v>
      </c>
      <c r="H76" s="6">
        <v>13.77</v>
      </c>
    </row>
    <row r="77" spans="1:8">
      <c r="A77" t="s">
        <v>41</v>
      </c>
      <c r="B77" t="s">
        <v>42</v>
      </c>
      <c r="C77">
        <v>14</v>
      </c>
      <c r="D77" s="5">
        <v>0.27110000000000001</v>
      </c>
      <c r="E77" s="5">
        <v>0.55449999999999999</v>
      </c>
      <c r="F77" s="6">
        <v>90.81</v>
      </c>
      <c r="G77" s="6">
        <v>83.9</v>
      </c>
      <c r="H77" s="6">
        <v>13.77</v>
      </c>
    </row>
    <row r="78" spans="1:8">
      <c r="A78" t="s">
        <v>41</v>
      </c>
      <c r="B78" t="s">
        <v>42</v>
      </c>
      <c r="C78">
        <v>15</v>
      </c>
      <c r="D78" s="5">
        <v>0.24679999999999999</v>
      </c>
      <c r="E78" s="5">
        <v>0.55289999999999995</v>
      </c>
      <c r="F78" s="6">
        <v>91.51</v>
      </c>
      <c r="G78" s="6">
        <v>84.7</v>
      </c>
      <c r="H78" s="6">
        <v>13.77</v>
      </c>
    </row>
    <row r="79" spans="1:8">
      <c r="A79" t="s">
        <v>41</v>
      </c>
      <c r="B79" t="s">
        <v>42</v>
      </c>
      <c r="C79">
        <v>16</v>
      </c>
      <c r="D79" s="5">
        <v>0.23</v>
      </c>
      <c r="E79" s="5">
        <v>0.53779999999999994</v>
      </c>
      <c r="F79" s="6">
        <v>91.97</v>
      </c>
      <c r="G79" s="6">
        <v>83.7</v>
      </c>
      <c r="H79" s="6">
        <v>13.77</v>
      </c>
    </row>
    <row r="80" spans="1:8">
      <c r="A80" t="s">
        <v>41</v>
      </c>
      <c r="B80" t="s">
        <v>42</v>
      </c>
      <c r="C80">
        <v>17</v>
      </c>
      <c r="D80" s="5">
        <v>0.21079999999999999</v>
      </c>
      <c r="E80" s="5">
        <v>0.58250000000000002</v>
      </c>
      <c r="F80" s="6">
        <v>92.77</v>
      </c>
      <c r="G80" s="6">
        <v>84.3</v>
      </c>
      <c r="H80" s="6">
        <v>13.77</v>
      </c>
    </row>
    <row r="81" spans="1:8">
      <c r="A81" t="s">
        <v>41</v>
      </c>
      <c r="B81" t="s">
        <v>42</v>
      </c>
      <c r="C81">
        <v>18</v>
      </c>
      <c r="D81" s="5">
        <v>0.19339999999999999</v>
      </c>
      <c r="E81" s="5">
        <v>0.5998</v>
      </c>
      <c r="F81" s="6">
        <v>93.3</v>
      </c>
      <c r="G81" s="6">
        <v>83</v>
      </c>
      <c r="H81" s="6">
        <v>13.77</v>
      </c>
    </row>
    <row r="82" spans="1:8">
      <c r="A82" t="s">
        <v>41</v>
      </c>
      <c r="B82" t="s">
        <v>42</v>
      </c>
      <c r="C82">
        <v>19</v>
      </c>
      <c r="D82" s="5">
        <v>0.1825</v>
      </c>
      <c r="E82" s="5">
        <v>0.63429999999999997</v>
      </c>
      <c r="F82" s="6">
        <v>93.88</v>
      </c>
      <c r="G82" s="6">
        <v>85.3</v>
      </c>
      <c r="H82" s="6">
        <v>13.77</v>
      </c>
    </row>
    <row r="83" spans="1:8">
      <c r="A83" t="s">
        <v>41</v>
      </c>
      <c r="B83" t="s">
        <v>42</v>
      </c>
      <c r="C83">
        <v>20</v>
      </c>
      <c r="D83" s="5">
        <v>0.16889999999999999</v>
      </c>
      <c r="E83" s="5">
        <v>0.6179</v>
      </c>
      <c r="F83" s="6">
        <v>94.29</v>
      </c>
      <c r="G83" s="6">
        <v>83.2</v>
      </c>
      <c r="H83" s="6">
        <v>13.77</v>
      </c>
    </row>
    <row r="84" spans="1:8">
      <c r="A84" t="s">
        <v>41</v>
      </c>
      <c r="B84" t="s">
        <v>42</v>
      </c>
      <c r="C84">
        <v>21</v>
      </c>
      <c r="D84" s="5">
        <v>0.15709999999999999</v>
      </c>
      <c r="E84" s="5">
        <v>0.64470000000000005</v>
      </c>
      <c r="F84" s="6">
        <v>94.58</v>
      </c>
      <c r="G84" s="6">
        <v>83.5</v>
      </c>
      <c r="H84" s="6">
        <v>13.77</v>
      </c>
    </row>
    <row r="85" spans="1:8">
      <c r="A85" t="s">
        <v>41</v>
      </c>
      <c r="B85" t="s">
        <v>42</v>
      </c>
      <c r="C85">
        <v>22</v>
      </c>
      <c r="D85" s="5">
        <v>0.1522</v>
      </c>
      <c r="E85" s="5">
        <v>0.65139999999999998</v>
      </c>
      <c r="F85" s="6">
        <v>94.72</v>
      </c>
      <c r="G85" s="6">
        <v>83.9</v>
      </c>
      <c r="H85" s="6">
        <v>13.77</v>
      </c>
    </row>
    <row r="86" spans="1:8">
      <c r="A86" t="s">
        <v>41</v>
      </c>
      <c r="B86" t="s">
        <v>42</v>
      </c>
      <c r="C86">
        <v>23</v>
      </c>
      <c r="D86" s="5">
        <v>0.14149999999999999</v>
      </c>
      <c r="E86" s="5">
        <v>0.62350000000000005</v>
      </c>
      <c r="F86" s="6">
        <v>95.02</v>
      </c>
      <c r="G86" s="6">
        <v>84.5</v>
      </c>
      <c r="H86" s="6">
        <v>13.77</v>
      </c>
    </row>
    <row r="87" spans="1:8">
      <c r="A87" t="s">
        <v>41</v>
      </c>
      <c r="B87" t="s">
        <v>42</v>
      </c>
      <c r="C87">
        <v>24</v>
      </c>
      <c r="D87" s="5">
        <v>0.1371</v>
      </c>
      <c r="E87" s="5">
        <v>0.62470000000000003</v>
      </c>
      <c r="F87" s="6">
        <v>95.29</v>
      </c>
      <c r="G87" s="6">
        <v>84.2</v>
      </c>
      <c r="H87" s="6">
        <v>13.77</v>
      </c>
    </row>
    <row r="88" spans="1:8">
      <c r="A88" t="s">
        <v>41</v>
      </c>
      <c r="B88" t="s">
        <v>42</v>
      </c>
      <c r="C88">
        <v>25</v>
      </c>
      <c r="D88" s="5">
        <v>0.13300000000000001</v>
      </c>
      <c r="E88" s="5">
        <v>0.60840000000000005</v>
      </c>
      <c r="F88" s="6">
        <v>95.4</v>
      </c>
      <c r="G88" s="6">
        <v>85</v>
      </c>
      <c r="H88" s="6">
        <v>13.77</v>
      </c>
    </row>
    <row r="89" spans="1:8">
      <c r="A89" t="s">
        <v>44</v>
      </c>
      <c r="B89" t="s">
        <v>45</v>
      </c>
      <c r="C89">
        <v>1</v>
      </c>
      <c r="D89" s="5">
        <v>1.1896</v>
      </c>
      <c r="E89" s="5">
        <v>1.0519000000000001</v>
      </c>
      <c r="F89" s="6">
        <v>57.16</v>
      </c>
      <c r="G89" s="6">
        <v>62.3</v>
      </c>
      <c r="H89" s="6">
        <v>25.98</v>
      </c>
    </row>
    <row r="90" spans="1:8">
      <c r="A90" t="s">
        <v>44</v>
      </c>
      <c r="B90" t="s">
        <v>45</v>
      </c>
      <c r="C90">
        <v>2</v>
      </c>
      <c r="D90" s="5">
        <v>0.79420000000000002</v>
      </c>
      <c r="E90" s="5">
        <v>0.8266</v>
      </c>
      <c r="F90" s="6">
        <v>72.040000000000006</v>
      </c>
      <c r="G90" s="6">
        <v>70.7</v>
      </c>
      <c r="H90" s="6">
        <v>25.98</v>
      </c>
    </row>
    <row r="91" spans="1:8">
      <c r="A91" t="s">
        <v>44</v>
      </c>
      <c r="B91" t="s">
        <v>45</v>
      </c>
      <c r="C91">
        <v>3</v>
      </c>
      <c r="D91" s="5">
        <v>0.61799999999999999</v>
      </c>
      <c r="E91" s="5">
        <v>0.63170000000000004</v>
      </c>
      <c r="F91" s="6">
        <v>78.38</v>
      </c>
      <c r="G91" s="6">
        <v>76.7</v>
      </c>
      <c r="H91" s="6">
        <v>25.98</v>
      </c>
    </row>
    <row r="92" spans="1:8">
      <c r="A92" t="s">
        <v>44</v>
      </c>
      <c r="B92" t="s">
        <v>45</v>
      </c>
      <c r="C92">
        <v>4</v>
      </c>
      <c r="D92" s="5">
        <v>0.49669999999999997</v>
      </c>
      <c r="E92" s="5">
        <v>0.65620000000000001</v>
      </c>
      <c r="F92" s="6">
        <v>82.52</v>
      </c>
      <c r="G92" s="6">
        <v>78</v>
      </c>
      <c r="H92" s="6">
        <v>25.98</v>
      </c>
    </row>
    <row r="93" spans="1:8">
      <c r="A93" t="s">
        <v>44</v>
      </c>
      <c r="B93" t="s">
        <v>45</v>
      </c>
      <c r="C93">
        <v>5</v>
      </c>
      <c r="D93" s="5">
        <v>0.38979999999999998</v>
      </c>
      <c r="E93" s="5">
        <v>0.61860000000000004</v>
      </c>
      <c r="F93" s="6">
        <v>86.44</v>
      </c>
      <c r="G93" s="6">
        <v>79.900000000000006</v>
      </c>
      <c r="H93" s="6">
        <v>25.98</v>
      </c>
    </row>
    <row r="94" spans="1:8">
      <c r="A94" t="s">
        <v>44</v>
      </c>
      <c r="B94" t="s">
        <v>45</v>
      </c>
      <c r="C94">
        <v>6</v>
      </c>
      <c r="D94" s="5">
        <v>0.30109999999999998</v>
      </c>
      <c r="E94" s="5">
        <v>0.64</v>
      </c>
      <c r="F94" s="6">
        <v>89.48</v>
      </c>
      <c r="G94" s="6">
        <v>80.3</v>
      </c>
      <c r="H94" s="6">
        <v>25.98</v>
      </c>
    </row>
    <row r="95" spans="1:8">
      <c r="A95" t="s">
        <v>44</v>
      </c>
      <c r="B95" t="s">
        <v>45</v>
      </c>
      <c r="C95">
        <v>7</v>
      </c>
      <c r="D95" s="5">
        <v>0.2233</v>
      </c>
      <c r="E95" s="5">
        <v>0.73460000000000003</v>
      </c>
      <c r="F95" s="6">
        <v>92.15</v>
      </c>
      <c r="G95" s="6">
        <v>79.099999999999994</v>
      </c>
      <c r="H95" s="6">
        <v>25.98</v>
      </c>
    </row>
    <row r="96" spans="1:8">
      <c r="A96" t="s">
        <v>44</v>
      </c>
      <c r="B96" t="s">
        <v>45</v>
      </c>
      <c r="C96">
        <v>8</v>
      </c>
      <c r="D96" s="5">
        <v>0.1673</v>
      </c>
      <c r="E96" s="5">
        <v>0.72399999999999998</v>
      </c>
      <c r="F96" s="6">
        <v>94.34</v>
      </c>
      <c r="G96" s="6">
        <v>79</v>
      </c>
      <c r="H96" s="6">
        <v>25.98</v>
      </c>
    </row>
    <row r="97" spans="1:8">
      <c r="A97" t="s">
        <v>44</v>
      </c>
      <c r="B97" t="s">
        <v>45</v>
      </c>
      <c r="C97">
        <v>9</v>
      </c>
      <c r="D97" s="5">
        <v>0.126</v>
      </c>
      <c r="E97" s="5">
        <v>0.73799999999999999</v>
      </c>
      <c r="F97" s="6">
        <v>95.66</v>
      </c>
      <c r="G97" s="6">
        <v>80</v>
      </c>
      <c r="H97" s="6">
        <v>25.98</v>
      </c>
    </row>
    <row r="98" spans="1:8">
      <c r="A98" t="s">
        <v>44</v>
      </c>
      <c r="B98" t="s">
        <v>45</v>
      </c>
      <c r="C98">
        <v>10</v>
      </c>
      <c r="D98" s="5">
        <v>0.1018</v>
      </c>
      <c r="E98" s="5">
        <v>0.88190000000000002</v>
      </c>
      <c r="F98" s="6">
        <v>96.47</v>
      </c>
      <c r="G98" s="6">
        <v>78.7</v>
      </c>
      <c r="H98" s="6">
        <v>25.98</v>
      </c>
    </row>
    <row r="99" spans="1:8">
      <c r="A99" t="s">
        <v>44</v>
      </c>
      <c r="B99" t="s">
        <v>45</v>
      </c>
      <c r="C99">
        <v>11</v>
      </c>
      <c r="D99" s="5">
        <v>9.3700000000000006E-2</v>
      </c>
      <c r="E99" s="5">
        <v>0.90920000000000001</v>
      </c>
      <c r="F99" s="6">
        <v>96.76</v>
      </c>
      <c r="G99" s="6">
        <v>78.599999999999994</v>
      </c>
      <c r="H99" s="6">
        <v>25.98</v>
      </c>
    </row>
    <row r="100" spans="1:8">
      <c r="A100" t="s">
        <v>44</v>
      </c>
      <c r="B100" t="s">
        <v>45</v>
      </c>
      <c r="C100">
        <v>12</v>
      </c>
      <c r="D100" s="5">
        <v>7.3099999999999998E-2</v>
      </c>
      <c r="E100" s="5">
        <v>0.97599999999999998</v>
      </c>
      <c r="F100" s="6">
        <v>97.46</v>
      </c>
      <c r="G100" s="6">
        <v>78.900000000000006</v>
      </c>
      <c r="H100" s="6">
        <v>25.98</v>
      </c>
    </row>
    <row r="101" spans="1:8">
      <c r="A101" t="s">
        <v>44</v>
      </c>
      <c r="B101" t="s">
        <v>45</v>
      </c>
      <c r="C101">
        <v>13</v>
      </c>
      <c r="D101" s="5">
        <v>6.6600000000000006E-2</v>
      </c>
      <c r="E101" s="5">
        <v>0.88929999999999998</v>
      </c>
      <c r="F101" s="6">
        <v>97.67</v>
      </c>
      <c r="G101" s="6">
        <v>80</v>
      </c>
      <c r="H101" s="6">
        <v>25.98</v>
      </c>
    </row>
    <row r="102" spans="1:8">
      <c r="A102" t="s">
        <v>44</v>
      </c>
      <c r="B102" t="s">
        <v>45</v>
      </c>
      <c r="C102">
        <v>14</v>
      </c>
      <c r="D102" s="5">
        <v>5.2299999999999999E-2</v>
      </c>
      <c r="E102" s="5">
        <v>0.86550000000000005</v>
      </c>
      <c r="F102" s="6">
        <v>98.2</v>
      </c>
      <c r="G102" s="6">
        <v>80.900000000000006</v>
      </c>
      <c r="H102" s="6">
        <v>25.98</v>
      </c>
    </row>
    <row r="103" spans="1:8">
      <c r="A103" t="s">
        <v>44</v>
      </c>
      <c r="B103" t="s">
        <v>45</v>
      </c>
      <c r="C103">
        <v>15</v>
      </c>
      <c r="D103" s="5">
        <v>4.8599999999999997E-2</v>
      </c>
      <c r="E103" s="5">
        <v>0.91169999999999995</v>
      </c>
      <c r="F103" s="6">
        <v>98.35</v>
      </c>
      <c r="G103" s="6">
        <v>80.599999999999994</v>
      </c>
      <c r="H103" s="6">
        <v>25.98</v>
      </c>
    </row>
    <row r="104" spans="1:8">
      <c r="A104" t="s">
        <v>44</v>
      </c>
      <c r="B104" t="s">
        <v>45</v>
      </c>
      <c r="C104">
        <v>16</v>
      </c>
      <c r="D104" s="5">
        <v>5.5100000000000003E-2</v>
      </c>
      <c r="E104" s="5">
        <v>0.93759999999999999</v>
      </c>
      <c r="F104" s="6">
        <v>98.07</v>
      </c>
      <c r="G104" s="6">
        <v>81.3</v>
      </c>
      <c r="H104" s="6">
        <v>25.98</v>
      </c>
    </row>
    <row r="105" spans="1:8">
      <c r="A105" t="s">
        <v>44</v>
      </c>
      <c r="B105" t="s">
        <v>45</v>
      </c>
      <c r="C105">
        <v>17</v>
      </c>
      <c r="D105" s="5">
        <v>5.0999999999999997E-2</v>
      </c>
      <c r="E105" s="5">
        <v>0.91200000000000003</v>
      </c>
      <c r="F105" s="6">
        <v>98.22</v>
      </c>
      <c r="G105" s="6">
        <v>80.599999999999994</v>
      </c>
      <c r="H105" s="6">
        <v>25.98</v>
      </c>
    </row>
    <row r="106" spans="1:8">
      <c r="A106" t="s">
        <v>44</v>
      </c>
      <c r="B106" t="s">
        <v>45</v>
      </c>
      <c r="C106">
        <v>18</v>
      </c>
      <c r="D106" s="5">
        <v>3.9100000000000003E-2</v>
      </c>
      <c r="E106" s="5">
        <v>1.0484</v>
      </c>
      <c r="F106" s="6">
        <v>98.62</v>
      </c>
      <c r="G106" s="6">
        <v>79.7</v>
      </c>
      <c r="H106" s="6">
        <v>25.98</v>
      </c>
    </row>
    <row r="107" spans="1:8">
      <c r="A107" t="s">
        <v>44</v>
      </c>
      <c r="B107" t="s">
        <v>45</v>
      </c>
      <c r="C107">
        <v>19</v>
      </c>
      <c r="D107" s="5">
        <v>4.1300000000000003E-2</v>
      </c>
      <c r="E107" s="5">
        <v>0.98350000000000004</v>
      </c>
      <c r="F107" s="6">
        <v>98.62</v>
      </c>
      <c r="G107" s="6">
        <v>80.8</v>
      </c>
      <c r="H107" s="6">
        <v>25.98</v>
      </c>
    </row>
    <row r="108" spans="1:8">
      <c r="A108" t="s">
        <v>44</v>
      </c>
      <c r="B108" t="s">
        <v>45</v>
      </c>
      <c r="C108">
        <v>20</v>
      </c>
      <c r="D108" s="5">
        <v>4.0500000000000001E-2</v>
      </c>
      <c r="E108" s="5">
        <v>0.92710000000000004</v>
      </c>
      <c r="F108" s="6">
        <v>98.61</v>
      </c>
      <c r="G108" s="6">
        <v>81.599999999999994</v>
      </c>
      <c r="H108" s="6">
        <v>25.98</v>
      </c>
    </row>
    <row r="109" spans="1:8">
      <c r="A109" t="s">
        <v>44</v>
      </c>
      <c r="B109" t="s">
        <v>45</v>
      </c>
      <c r="C109">
        <v>21</v>
      </c>
      <c r="D109" s="5">
        <v>4.2000000000000003E-2</v>
      </c>
      <c r="E109" s="5">
        <v>0.96099999999999997</v>
      </c>
      <c r="F109" s="6">
        <v>98.52</v>
      </c>
      <c r="G109" s="6">
        <v>81.7</v>
      </c>
      <c r="H109" s="6">
        <v>25.98</v>
      </c>
    </row>
    <row r="110" spans="1:8">
      <c r="A110" t="s">
        <v>44</v>
      </c>
      <c r="B110" t="s">
        <v>45</v>
      </c>
      <c r="C110">
        <v>22</v>
      </c>
      <c r="D110" s="5">
        <v>2.6200000000000001E-2</v>
      </c>
      <c r="E110" s="5">
        <v>0.94689999999999996</v>
      </c>
      <c r="F110" s="6">
        <v>99.12</v>
      </c>
      <c r="G110" s="6">
        <v>80.8</v>
      </c>
      <c r="H110" s="6">
        <v>25.98</v>
      </c>
    </row>
    <row r="111" spans="1:8">
      <c r="A111" t="s">
        <v>44</v>
      </c>
      <c r="B111" t="s">
        <v>45</v>
      </c>
      <c r="C111">
        <v>23</v>
      </c>
      <c r="D111" s="5">
        <v>3.8800000000000001E-2</v>
      </c>
      <c r="E111" s="5">
        <v>0.99360000000000004</v>
      </c>
      <c r="F111" s="6">
        <v>98.64</v>
      </c>
      <c r="G111" s="6">
        <v>82.9</v>
      </c>
      <c r="H111" s="6">
        <v>25.98</v>
      </c>
    </row>
    <row r="112" spans="1:8">
      <c r="A112" t="s">
        <v>44</v>
      </c>
      <c r="B112" t="s">
        <v>45</v>
      </c>
      <c r="C112">
        <v>24</v>
      </c>
      <c r="D112" s="5">
        <v>3.2599999999999997E-2</v>
      </c>
      <c r="E112" s="5">
        <v>0.94179999999999997</v>
      </c>
      <c r="F112" s="6">
        <v>98.86</v>
      </c>
      <c r="G112" s="6">
        <v>82.2</v>
      </c>
      <c r="H112" s="6">
        <v>25.98</v>
      </c>
    </row>
    <row r="113" spans="1:8">
      <c r="A113" t="s">
        <v>44</v>
      </c>
      <c r="B113" t="s">
        <v>45</v>
      </c>
      <c r="C113">
        <v>25</v>
      </c>
      <c r="D113" s="5">
        <v>2.9700000000000001E-2</v>
      </c>
      <c r="E113" s="5">
        <v>1.0390999999999999</v>
      </c>
      <c r="F113" s="6">
        <v>98.98</v>
      </c>
      <c r="G113" s="6">
        <v>80.900000000000006</v>
      </c>
      <c r="H113" s="6">
        <v>25.98</v>
      </c>
    </row>
    <row r="114" spans="1:8">
      <c r="A114" t="s">
        <v>47</v>
      </c>
      <c r="B114" t="s">
        <v>48</v>
      </c>
      <c r="C114">
        <v>1</v>
      </c>
      <c r="D114" s="5">
        <v>1.3491</v>
      </c>
      <c r="E114" s="5">
        <v>1.1049</v>
      </c>
      <c r="F114" s="6">
        <v>51.01</v>
      </c>
      <c r="G114" s="6">
        <v>59.4</v>
      </c>
      <c r="H114" s="6">
        <v>36.08</v>
      </c>
    </row>
    <row r="115" spans="1:8">
      <c r="A115" t="s">
        <v>47</v>
      </c>
      <c r="B115" t="s">
        <v>48</v>
      </c>
      <c r="C115">
        <v>2</v>
      </c>
      <c r="D115" s="5">
        <v>0.94259999999999999</v>
      </c>
      <c r="E115" s="5">
        <v>1.2051000000000001</v>
      </c>
      <c r="F115" s="6">
        <v>66.510000000000005</v>
      </c>
      <c r="G115" s="6">
        <v>60.5</v>
      </c>
      <c r="H115" s="6">
        <v>36.08</v>
      </c>
    </row>
    <row r="116" spans="1:8">
      <c r="A116" t="s">
        <v>47</v>
      </c>
      <c r="B116" t="s">
        <v>48</v>
      </c>
      <c r="C116">
        <v>3</v>
      </c>
      <c r="D116" s="5">
        <v>0.79039999999999999</v>
      </c>
      <c r="E116" s="5">
        <v>0.80369999999999997</v>
      </c>
      <c r="F116" s="6">
        <v>72.03</v>
      </c>
      <c r="G116" s="6">
        <v>73.2</v>
      </c>
      <c r="H116" s="6">
        <v>36.08</v>
      </c>
    </row>
    <row r="117" spans="1:8">
      <c r="A117" t="s">
        <v>47</v>
      </c>
      <c r="B117" t="s">
        <v>48</v>
      </c>
      <c r="C117">
        <v>4</v>
      </c>
      <c r="D117" s="5">
        <v>0.68710000000000004</v>
      </c>
      <c r="E117" s="5">
        <v>0.64639999999999997</v>
      </c>
      <c r="F117" s="6">
        <v>76.03</v>
      </c>
      <c r="G117" s="6">
        <v>78.5</v>
      </c>
      <c r="H117" s="6">
        <v>36.08</v>
      </c>
    </row>
    <row r="118" spans="1:8">
      <c r="A118" t="s">
        <v>47</v>
      </c>
      <c r="B118" t="s">
        <v>48</v>
      </c>
      <c r="C118">
        <v>5</v>
      </c>
      <c r="D118" s="5">
        <v>0.62470000000000003</v>
      </c>
      <c r="E118" s="5">
        <v>0.61009999999999998</v>
      </c>
      <c r="F118" s="6">
        <v>78.22</v>
      </c>
      <c r="G118" s="6">
        <v>81.2</v>
      </c>
      <c r="H118" s="6">
        <v>36.08</v>
      </c>
    </row>
    <row r="119" spans="1:8">
      <c r="A119" t="s">
        <v>47</v>
      </c>
      <c r="B119" t="s">
        <v>48</v>
      </c>
      <c r="C119">
        <v>6</v>
      </c>
      <c r="D119" s="5">
        <v>0.57879999999999998</v>
      </c>
      <c r="E119" s="5">
        <v>0.57869999999999999</v>
      </c>
      <c r="F119" s="6">
        <v>79.81</v>
      </c>
      <c r="G119" s="6">
        <v>81.599999999999994</v>
      </c>
      <c r="H119" s="6">
        <v>36.08</v>
      </c>
    </row>
    <row r="120" spans="1:8">
      <c r="A120" t="s">
        <v>47</v>
      </c>
      <c r="B120" t="s">
        <v>48</v>
      </c>
      <c r="C120">
        <v>7</v>
      </c>
      <c r="D120" s="5">
        <v>0.54059999999999997</v>
      </c>
      <c r="E120" s="5">
        <v>0.51890000000000003</v>
      </c>
      <c r="F120" s="6">
        <v>81.260000000000005</v>
      </c>
      <c r="G120" s="6">
        <v>82.5</v>
      </c>
      <c r="H120" s="6">
        <v>36.08</v>
      </c>
    </row>
    <row r="121" spans="1:8">
      <c r="A121" t="s">
        <v>47</v>
      </c>
      <c r="B121" t="s">
        <v>48</v>
      </c>
      <c r="C121">
        <v>8</v>
      </c>
      <c r="D121" s="5">
        <v>0.50480000000000003</v>
      </c>
      <c r="E121" s="5">
        <v>0.54239999999999999</v>
      </c>
      <c r="F121" s="6">
        <v>82.6</v>
      </c>
      <c r="G121" s="6">
        <v>82.4</v>
      </c>
      <c r="H121" s="6">
        <v>36.08</v>
      </c>
    </row>
    <row r="122" spans="1:8">
      <c r="A122" t="s">
        <v>47</v>
      </c>
      <c r="B122" t="s">
        <v>48</v>
      </c>
      <c r="C122">
        <v>9</v>
      </c>
      <c r="D122" s="5">
        <v>0.4738</v>
      </c>
      <c r="E122" s="5">
        <v>0.56640000000000001</v>
      </c>
      <c r="F122" s="6">
        <v>83.67</v>
      </c>
      <c r="G122" s="6">
        <v>80.900000000000006</v>
      </c>
      <c r="H122" s="6">
        <v>36.08</v>
      </c>
    </row>
    <row r="123" spans="1:8">
      <c r="A123" t="s">
        <v>47</v>
      </c>
      <c r="B123" t="s">
        <v>48</v>
      </c>
      <c r="C123">
        <v>10</v>
      </c>
      <c r="D123" s="5">
        <v>0.4506</v>
      </c>
      <c r="E123" s="5">
        <v>0.50970000000000004</v>
      </c>
      <c r="F123" s="6">
        <v>84.31</v>
      </c>
      <c r="G123" s="6">
        <v>83.1</v>
      </c>
      <c r="H123" s="6">
        <v>36.08</v>
      </c>
    </row>
    <row r="124" spans="1:8">
      <c r="A124" t="s">
        <v>47</v>
      </c>
      <c r="B124" t="s">
        <v>48</v>
      </c>
      <c r="C124">
        <v>11</v>
      </c>
      <c r="D124" s="5">
        <v>0.43409999999999999</v>
      </c>
      <c r="E124" s="5">
        <v>0.45519999999999999</v>
      </c>
      <c r="F124" s="6">
        <v>84.93</v>
      </c>
      <c r="G124" s="6">
        <v>84.9</v>
      </c>
      <c r="H124" s="6">
        <v>36.08</v>
      </c>
    </row>
    <row r="125" spans="1:8">
      <c r="A125" t="s">
        <v>47</v>
      </c>
      <c r="B125" t="s">
        <v>48</v>
      </c>
      <c r="C125">
        <v>12</v>
      </c>
      <c r="D125" s="5">
        <v>0.40920000000000001</v>
      </c>
      <c r="E125" s="5">
        <v>0.45679999999999998</v>
      </c>
      <c r="F125" s="6">
        <v>85.61</v>
      </c>
      <c r="G125" s="6">
        <v>84.5</v>
      </c>
      <c r="H125" s="6">
        <v>36.08</v>
      </c>
    </row>
    <row r="126" spans="1:8">
      <c r="A126" t="s">
        <v>47</v>
      </c>
      <c r="B126" t="s">
        <v>48</v>
      </c>
      <c r="C126">
        <v>13</v>
      </c>
      <c r="D126" s="5">
        <v>0.38900000000000001</v>
      </c>
      <c r="E126" s="5">
        <v>0.45390000000000003</v>
      </c>
      <c r="F126" s="6">
        <v>86.36</v>
      </c>
      <c r="G126" s="6">
        <v>86</v>
      </c>
      <c r="H126" s="6">
        <v>36.08</v>
      </c>
    </row>
    <row r="127" spans="1:8">
      <c r="A127" t="s">
        <v>47</v>
      </c>
      <c r="B127" t="s">
        <v>48</v>
      </c>
      <c r="C127">
        <v>14</v>
      </c>
      <c r="D127" s="5">
        <v>0.36940000000000001</v>
      </c>
      <c r="E127" s="5">
        <v>0.46229999999999999</v>
      </c>
      <c r="F127" s="6">
        <v>87.02</v>
      </c>
      <c r="G127" s="6">
        <v>84.1</v>
      </c>
      <c r="H127" s="6">
        <v>36.08</v>
      </c>
    </row>
    <row r="128" spans="1:8">
      <c r="A128" t="s">
        <v>47</v>
      </c>
      <c r="B128" t="s">
        <v>48</v>
      </c>
      <c r="C128">
        <v>15</v>
      </c>
      <c r="D128" s="5">
        <v>0.35959999999999998</v>
      </c>
      <c r="E128" s="5">
        <v>0.41060000000000002</v>
      </c>
      <c r="F128" s="6">
        <v>87.33</v>
      </c>
      <c r="G128" s="6">
        <v>87.1</v>
      </c>
      <c r="H128" s="6">
        <v>36.08</v>
      </c>
    </row>
    <row r="129" spans="1:8">
      <c r="A129" t="s">
        <v>47</v>
      </c>
      <c r="B129" t="s">
        <v>48</v>
      </c>
      <c r="C129">
        <v>16</v>
      </c>
      <c r="D129" s="5">
        <v>0.33829999999999999</v>
      </c>
      <c r="E129" s="5">
        <v>0.37869999999999998</v>
      </c>
      <c r="F129" s="6">
        <v>88.29</v>
      </c>
      <c r="G129" s="6">
        <v>87.5</v>
      </c>
      <c r="H129" s="6">
        <v>36.08</v>
      </c>
    </row>
    <row r="130" spans="1:8">
      <c r="A130" t="s">
        <v>47</v>
      </c>
      <c r="B130" t="s">
        <v>48</v>
      </c>
      <c r="C130">
        <v>17</v>
      </c>
      <c r="D130" s="5">
        <v>0.32529999999999998</v>
      </c>
      <c r="E130" s="5">
        <v>0.42599999999999999</v>
      </c>
      <c r="F130" s="6">
        <v>88.67</v>
      </c>
      <c r="G130" s="6">
        <v>85.3</v>
      </c>
      <c r="H130" s="6">
        <v>36.08</v>
      </c>
    </row>
    <row r="131" spans="1:8">
      <c r="A131" t="s">
        <v>47</v>
      </c>
      <c r="B131" t="s">
        <v>48</v>
      </c>
      <c r="C131">
        <v>18</v>
      </c>
      <c r="D131" s="5">
        <v>0.31230000000000002</v>
      </c>
      <c r="E131" s="5">
        <v>0.38469999999999999</v>
      </c>
      <c r="F131" s="6">
        <v>89.01</v>
      </c>
      <c r="G131" s="6">
        <v>86.7</v>
      </c>
      <c r="H131" s="6">
        <v>36.08</v>
      </c>
    </row>
    <row r="132" spans="1:8">
      <c r="A132" t="s">
        <v>47</v>
      </c>
      <c r="B132" t="s">
        <v>48</v>
      </c>
      <c r="C132">
        <v>19</v>
      </c>
      <c r="D132" s="5">
        <v>0.29670000000000002</v>
      </c>
      <c r="E132" s="5">
        <v>0.38990000000000002</v>
      </c>
      <c r="F132" s="6">
        <v>89.54</v>
      </c>
      <c r="G132" s="6">
        <v>87.4</v>
      </c>
      <c r="H132" s="6">
        <v>36.08</v>
      </c>
    </row>
    <row r="133" spans="1:8">
      <c r="A133" t="s">
        <v>47</v>
      </c>
      <c r="B133" t="s">
        <v>48</v>
      </c>
      <c r="C133">
        <v>20</v>
      </c>
      <c r="D133" s="5">
        <v>0.28560000000000002</v>
      </c>
      <c r="E133" s="5">
        <v>0.39300000000000002</v>
      </c>
      <c r="F133" s="6">
        <v>90.01</v>
      </c>
      <c r="G133" s="6">
        <v>87.3</v>
      </c>
      <c r="H133" s="6">
        <v>36.08</v>
      </c>
    </row>
    <row r="134" spans="1:8">
      <c r="A134" t="s">
        <v>47</v>
      </c>
      <c r="B134" t="s">
        <v>48</v>
      </c>
      <c r="C134">
        <v>21</v>
      </c>
      <c r="D134" s="5">
        <v>0.28129999999999999</v>
      </c>
      <c r="E134" s="5">
        <v>0.3614</v>
      </c>
      <c r="F134" s="6">
        <v>90.16</v>
      </c>
      <c r="G134" s="6">
        <v>88.3</v>
      </c>
      <c r="H134" s="6">
        <v>36.08</v>
      </c>
    </row>
    <row r="135" spans="1:8">
      <c r="A135" t="s">
        <v>47</v>
      </c>
      <c r="B135" t="s">
        <v>48</v>
      </c>
      <c r="C135">
        <v>22</v>
      </c>
      <c r="D135" s="5">
        <v>0.26419999999999999</v>
      </c>
      <c r="E135" s="5">
        <v>0.39889999999999998</v>
      </c>
      <c r="F135" s="6">
        <v>90.57</v>
      </c>
      <c r="G135" s="6">
        <v>86.6</v>
      </c>
      <c r="H135" s="6">
        <v>36.08</v>
      </c>
    </row>
    <row r="136" spans="1:8">
      <c r="A136" t="s">
        <v>47</v>
      </c>
      <c r="B136" t="s">
        <v>48</v>
      </c>
      <c r="C136">
        <v>23</v>
      </c>
      <c r="D136" s="5">
        <v>0.25890000000000002</v>
      </c>
      <c r="E136" s="5">
        <v>0.3765</v>
      </c>
      <c r="F136" s="6">
        <v>90.89</v>
      </c>
      <c r="G136" s="6">
        <v>88</v>
      </c>
      <c r="H136" s="6">
        <v>36.08</v>
      </c>
    </row>
    <row r="137" spans="1:8">
      <c r="A137" t="s">
        <v>47</v>
      </c>
      <c r="B137" t="s">
        <v>48</v>
      </c>
      <c r="C137">
        <v>24</v>
      </c>
      <c r="D137" s="5">
        <v>0.248</v>
      </c>
      <c r="E137" s="5">
        <v>0.36680000000000001</v>
      </c>
      <c r="F137" s="6">
        <v>91.27</v>
      </c>
      <c r="G137" s="6">
        <v>87.8</v>
      </c>
      <c r="H137" s="6">
        <v>36.08</v>
      </c>
    </row>
    <row r="138" spans="1:8">
      <c r="A138" t="s">
        <v>47</v>
      </c>
      <c r="B138" t="s">
        <v>48</v>
      </c>
      <c r="C138">
        <v>25</v>
      </c>
      <c r="D138" s="5">
        <v>0.23530000000000001</v>
      </c>
      <c r="E138" s="5">
        <v>0.39560000000000001</v>
      </c>
      <c r="F138" s="6">
        <v>91.73</v>
      </c>
      <c r="G138" s="6">
        <v>88.4</v>
      </c>
      <c r="H138" s="6">
        <v>36.08</v>
      </c>
    </row>
    <row r="139" spans="1:8">
      <c r="A139" t="s">
        <v>50</v>
      </c>
      <c r="B139" t="s">
        <v>51</v>
      </c>
      <c r="C139">
        <v>1</v>
      </c>
      <c r="D139" s="5">
        <v>1.5426</v>
      </c>
      <c r="E139" s="5">
        <v>1.306</v>
      </c>
      <c r="F139" s="6">
        <v>43.57</v>
      </c>
      <c r="G139" s="6">
        <v>55.8</v>
      </c>
      <c r="H139" s="6">
        <v>84.13</v>
      </c>
    </row>
    <row r="140" spans="1:8">
      <c r="A140" t="s">
        <v>50</v>
      </c>
      <c r="B140" t="s">
        <v>51</v>
      </c>
      <c r="C140">
        <v>2</v>
      </c>
      <c r="D140" s="5">
        <v>1.1676</v>
      </c>
      <c r="E140" s="5">
        <v>0.99280000000000002</v>
      </c>
      <c r="F140" s="6">
        <v>58.6</v>
      </c>
      <c r="G140" s="6">
        <v>64.5</v>
      </c>
      <c r="H140" s="6">
        <v>84.13</v>
      </c>
    </row>
    <row r="141" spans="1:8">
      <c r="A141" t="s">
        <v>50</v>
      </c>
      <c r="B141" t="s">
        <v>51</v>
      </c>
      <c r="C141">
        <v>3</v>
      </c>
      <c r="D141" s="5">
        <v>0.99039999999999995</v>
      </c>
      <c r="E141" s="5">
        <v>0.78290000000000004</v>
      </c>
      <c r="F141" s="6">
        <v>65.55</v>
      </c>
      <c r="G141" s="6">
        <v>73.2</v>
      </c>
      <c r="H141" s="6">
        <v>84.13</v>
      </c>
    </row>
    <row r="142" spans="1:8">
      <c r="A142" t="s">
        <v>50</v>
      </c>
      <c r="B142" t="s">
        <v>51</v>
      </c>
      <c r="C142">
        <v>4</v>
      </c>
      <c r="D142" s="5">
        <v>0.88449999999999995</v>
      </c>
      <c r="E142" s="5">
        <v>0.7006</v>
      </c>
      <c r="F142" s="6">
        <v>69.650000000000006</v>
      </c>
      <c r="G142" s="6">
        <v>74.8</v>
      </c>
      <c r="H142" s="6">
        <v>84.13</v>
      </c>
    </row>
    <row r="143" spans="1:8">
      <c r="A143" t="s">
        <v>50</v>
      </c>
      <c r="B143" t="s">
        <v>51</v>
      </c>
      <c r="C143">
        <v>5</v>
      </c>
      <c r="D143" s="5">
        <v>0.81359999999999999</v>
      </c>
      <c r="E143" s="5">
        <v>0.67510000000000003</v>
      </c>
      <c r="F143" s="6">
        <v>72.28</v>
      </c>
      <c r="G143" s="6">
        <v>76.8</v>
      </c>
      <c r="H143" s="6">
        <v>84.13</v>
      </c>
    </row>
    <row r="144" spans="1:8">
      <c r="A144" t="s">
        <v>50</v>
      </c>
      <c r="B144" t="s">
        <v>51</v>
      </c>
      <c r="C144">
        <v>6</v>
      </c>
      <c r="D144" s="5">
        <v>0.75090000000000001</v>
      </c>
      <c r="E144" s="5">
        <v>0.59919999999999995</v>
      </c>
      <c r="F144" s="6">
        <v>74.38</v>
      </c>
      <c r="G144" s="6">
        <v>79</v>
      </c>
      <c r="H144" s="6">
        <v>84.13</v>
      </c>
    </row>
    <row r="145" spans="1:8">
      <c r="A145" t="s">
        <v>50</v>
      </c>
      <c r="B145" t="s">
        <v>51</v>
      </c>
      <c r="C145">
        <v>7</v>
      </c>
      <c r="D145" s="5">
        <v>0.7137</v>
      </c>
      <c r="E145" s="5">
        <v>0.63019999999999998</v>
      </c>
      <c r="F145" s="6">
        <v>75.790000000000006</v>
      </c>
      <c r="G145" s="6">
        <v>79.599999999999994</v>
      </c>
      <c r="H145" s="6">
        <v>84.13</v>
      </c>
    </row>
    <row r="146" spans="1:8">
      <c r="A146" t="s">
        <v>50</v>
      </c>
      <c r="B146" t="s">
        <v>51</v>
      </c>
      <c r="C146">
        <v>8</v>
      </c>
      <c r="D146" s="5">
        <v>0.68179999999999996</v>
      </c>
      <c r="E146" s="5">
        <v>0.53449999999999998</v>
      </c>
      <c r="F146" s="6">
        <v>76.84</v>
      </c>
      <c r="G146" s="6">
        <v>81.2</v>
      </c>
      <c r="H146" s="6">
        <v>84.13</v>
      </c>
    </row>
    <row r="147" spans="1:8">
      <c r="A147" t="s">
        <v>50</v>
      </c>
      <c r="B147" t="s">
        <v>51</v>
      </c>
      <c r="C147">
        <v>9</v>
      </c>
      <c r="D147" s="5">
        <v>0.63880000000000003</v>
      </c>
      <c r="E147" s="5">
        <v>0.52690000000000003</v>
      </c>
      <c r="F147" s="6">
        <v>78.27</v>
      </c>
      <c r="G147" s="6">
        <v>81.099999999999994</v>
      </c>
      <c r="H147" s="6">
        <v>84.13</v>
      </c>
    </row>
    <row r="148" spans="1:8">
      <c r="A148" t="s">
        <v>50</v>
      </c>
      <c r="B148" t="s">
        <v>51</v>
      </c>
      <c r="C148">
        <v>10</v>
      </c>
      <c r="D148" s="5">
        <v>0.62119999999999997</v>
      </c>
      <c r="E148" s="5">
        <v>0.52049999999999996</v>
      </c>
      <c r="F148" s="6">
        <v>78.709999999999994</v>
      </c>
      <c r="G148" s="6">
        <v>82.2</v>
      </c>
      <c r="H148" s="6">
        <v>84.13</v>
      </c>
    </row>
    <row r="149" spans="1:8">
      <c r="A149" t="s">
        <v>50</v>
      </c>
      <c r="B149" t="s">
        <v>51</v>
      </c>
      <c r="C149">
        <v>11</v>
      </c>
      <c r="D149" s="5">
        <v>0.59709999999999996</v>
      </c>
      <c r="E149" s="5">
        <v>0.53359999999999996</v>
      </c>
      <c r="F149" s="6">
        <v>79.680000000000007</v>
      </c>
      <c r="G149" s="6">
        <v>82.2</v>
      </c>
      <c r="H149" s="6">
        <v>84.13</v>
      </c>
    </row>
    <row r="150" spans="1:8">
      <c r="A150" t="s">
        <v>50</v>
      </c>
      <c r="B150" t="s">
        <v>51</v>
      </c>
      <c r="C150">
        <v>12</v>
      </c>
      <c r="D150" s="5">
        <v>0.57630000000000003</v>
      </c>
      <c r="E150" s="5">
        <v>0.47420000000000001</v>
      </c>
      <c r="F150" s="6">
        <v>80.55</v>
      </c>
      <c r="G150" s="6">
        <v>83.5</v>
      </c>
      <c r="H150" s="6">
        <v>84.13</v>
      </c>
    </row>
    <row r="151" spans="1:8">
      <c r="A151" t="s">
        <v>50</v>
      </c>
      <c r="B151" t="s">
        <v>51</v>
      </c>
      <c r="C151">
        <v>13</v>
      </c>
      <c r="D151" s="5">
        <v>0.55649999999999999</v>
      </c>
      <c r="E151" s="5">
        <v>0.45169999999999999</v>
      </c>
      <c r="F151" s="6">
        <v>81.13</v>
      </c>
      <c r="G151" s="6">
        <v>85.3</v>
      </c>
      <c r="H151" s="6">
        <v>84.13</v>
      </c>
    </row>
    <row r="152" spans="1:8">
      <c r="A152" t="s">
        <v>50</v>
      </c>
      <c r="B152" t="s">
        <v>51</v>
      </c>
      <c r="C152">
        <v>14</v>
      </c>
      <c r="D152" s="5">
        <v>0.53810000000000002</v>
      </c>
      <c r="E152" s="5">
        <v>0.48830000000000001</v>
      </c>
      <c r="F152" s="6">
        <v>81.62</v>
      </c>
      <c r="G152" s="6">
        <v>84.1</v>
      </c>
      <c r="H152" s="6">
        <v>84.13</v>
      </c>
    </row>
    <row r="153" spans="1:8">
      <c r="A153" t="s">
        <v>50</v>
      </c>
      <c r="B153" t="s">
        <v>51</v>
      </c>
      <c r="C153">
        <v>15</v>
      </c>
      <c r="D153" s="5">
        <v>0.5242</v>
      </c>
      <c r="E153" s="5">
        <v>0.4446</v>
      </c>
      <c r="F153" s="6">
        <v>82.17</v>
      </c>
      <c r="G153" s="6">
        <v>85</v>
      </c>
      <c r="H153" s="6">
        <v>84.13</v>
      </c>
    </row>
    <row r="154" spans="1:8">
      <c r="A154" t="s">
        <v>50</v>
      </c>
      <c r="B154" t="s">
        <v>51</v>
      </c>
      <c r="C154">
        <v>16</v>
      </c>
      <c r="D154" s="5">
        <v>0.50900000000000001</v>
      </c>
      <c r="E154" s="5">
        <v>0.41870000000000002</v>
      </c>
      <c r="F154" s="6">
        <v>82.89</v>
      </c>
      <c r="G154" s="6">
        <v>84.9</v>
      </c>
      <c r="H154" s="6">
        <v>84.13</v>
      </c>
    </row>
    <row r="155" spans="1:8">
      <c r="A155" t="s">
        <v>50</v>
      </c>
      <c r="B155" t="s">
        <v>51</v>
      </c>
      <c r="C155">
        <v>17</v>
      </c>
      <c r="D155" s="5">
        <v>0.49569999999999997</v>
      </c>
      <c r="E155" s="5">
        <v>0.41720000000000002</v>
      </c>
      <c r="F155" s="6">
        <v>83.24</v>
      </c>
      <c r="G155" s="6">
        <v>85.8</v>
      </c>
      <c r="H155" s="6">
        <v>84.13</v>
      </c>
    </row>
    <row r="156" spans="1:8">
      <c r="A156" t="s">
        <v>50</v>
      </c>
      <c r="B156" t="s">
        <v>51</v>
      </c>
      <c r="C156">
        <v>18</v>
      </c>
      <c r="D156" s="5">
        <v>0.48089999999999999</v>
      </c>
      <c r="E156" s="5">
        <v>0.4325</v>
      </c>
      <c r="F156" s="6">
        <v>83.77</v>
      </c>
      <c r="G156" s="6">
        <v>85.1</v>
      </c>
      <c r="H156" s="6">
        <v>84.13</v>
      </c>
    </row>
    <row r="157" spans="1:8">
      <c r="A157" t="s">
        <v>50</v>
      </c>
      <c r="B157" t="s">
        <v>51</v>
      </c>
      <c r="C157">
        <v>19</v>
      </c>
      <c r="D157" s="5">
        <v>0.47070000000000001</v>
      </c>
      <c r="E157" s="5">
        <v>0.39179999999999998</v>
      </c>
      <c r="F157" s="6">
        <v>84.13</v>
      </c>
      <c r="G157" s="6">
        <v>86.6</v>
      </c>
      <c r="H157" s="6">
        <v>84.13</v>
      </c>
    </row>
    <row r="158" spans="1:8">
      <c r="A158" t="s">
        <v>50</v>
      </c>
      <c r="B158" t="s">
        <v>51</v>
      </c>
      <c r="C158">
        <v>20</v>
      </c>
      <c r="D158" s="5">
        <v>0.45219999999999999</v>
      </c>
      <c r="E158" s="5">
        <v>0.39460000000000001</v>
      </c>
      <c r="F158" s="6">
        <v>84.75</v>
      </c>
      <c r="G158" s="6">
        <v>86.6</v>
      </c>
      <c r="H158" s="6">
        <v>84.13</v>
      </c>
    </row>
    <row r="159" spans="1:8">
      <c r="A159" t="s">
        <v>50</v>
      </c>
      <c r="B159" t="s">
        <v>51</v>
      </c>
      <c r="C159">
        <v>21</v>
      </c>
      <c r="D159" s="5">
        <v>0.4451</v>
      </c>
      <c r="E159" s="5">
        <v>0.42709999999999998</v>
      </c>
      <c r="F159" s="6">
        <v>84.9</v>
      </c>
      <c r="G159" s="6">
        <v>85.3</v>
      </c>
      <c r="H159" s="6">
        <v>84.13</v>
      </c>
    </row>
    <row r="160" spans="1:8">
      <c r="A160" t="s">
        <v>50</v>
      </c>
      <c r="B160" t="s">
        <v>51</v>
      </c>
      <c r="C160">
        <v>22</v>
      </c>
      <c r="D160" s="5">
        <v>0.43469999999999998</v>
      </c>
      <c r="E160" s="5">
        <v>0.37809999999999999</v>
      </c>
      <c r="F160" s="6">
        <v>85.13</v>
      </c>
      <c r="G160" s="6">
        <v>86.8</v>
      </c>
      <c r="H160" s="6">
        <v>84.13</v>
      </c>
    </row>
    <row r="161" spans="1:8">
      <c r="A161" t="s">
        <v>50</v>
      </c>
      <c r="B161" t="s">
        <v>51</v>
      </c>
      <c r="C161">
        <v>23</v>
      </c>
      <c r="D161" s="5">
        <v>0.42680000000000001</v>
      </c>
      <c r="E161" s="5">
        <v>0.39150000000000001</v>
      </c>
      <c r="F161" s="6">
        <v>85.47</v>
      </c>
      <c r="G161" s="6">
        <v>85.3</v>
      </c>
      <c r="H161" s="6">
        <v>84.13</v>
      </c>
    </row>
    <row r="162" spans="1:8">
      <c r="A162" t="s">
        <v>50</v>
      </c>
      <c r="B162" t="s">
        <v>51</v>
      </c>
      <c r="C162">
        <v>24</v>
      </c>
      <c r="D162" s="5">
        <v>0.41270000000000001</v>
      </c>
      <c r="E162" s="5">
        <v>0.39169999999999999</v>
      </c>
      <c r="F162" s="6">
        <v>85.83</v>
      </c>
      <c r="G162" s="6">
        <v>86.6</v>
      </c>
      <c r="H162" s="6">
        <v>84.13</v>
      </c>
    </row>
    <row r="163" spans="1:8">
      <c r="A163" t="s">
        <v>50</v>
      </c>
      <c r="B163" t="s">
        <v>51</v>
      </c>
      <c r="C163">
        <v>25</v>
      </c>
      <c r="D163" s="5">
        <v>0.40789999999999998</v>
      </c>
      <c r="E163" s="5">
        <v>0.39269999999999999</v>
      </c>
      <c r="F163" s="6">
        <v>86.19</v>
      </c>
      <c r="G163" s="6">
        <v>85.9</v>
      </c>
      <c r="H163" s="6">
        <v>84.13</v>
      </c>
    </row>
    <row r="164" spans="1:8">
      <c r="A164" t="s">
        <v>50</v>
      </c>
      <c r="B164" t="s">
        <v>51</v>
      </c>
      <c r="C164">
        <v>26</v>
      </c>
      <c r="D164" s="5">
        <v>0.40350000000000003</v>
      </c>
      <c r="E164" s="5">
        <v>0.38350000000000001</v>
      </c>
      <c r="F164" s="6">
        <v>86.45</v>
      </c>
      <c r="G164" s="6">
        <v>86.5</v>
      </c>
      <c r="H164" s="6">
        <v>84.13</v>
      </c>
    </row>
    <row r="165" spans="1:8">
      <c r="A165" t="s">
        <v>50</v>
      </c>
      <c r="B165" t="s">
        <v>51</v>
      </c>
      <c r="C165">
        <v>27</v>
      </c>
      <c r="D165" s="5">
        <v>0.3926</v>
      </c>
      <c r="E165" s="5">
        <v>0.36399999999999999</v>
      </c>
      <c r="F165" s="6">
        <v>86.73</v>
      </c>
      <c r="G165" s="6">
        <v>86.5</v>
      </c>
      <c r="H165" s="6">
        <v>84.13</v>
      </c>
    </row>
    <row r="166" spans="1:8">
      <c r="A166" t="s">
        <v>50</v>
      </c>
      <c r="B166" t="s">
        <v>51</v>
      </c>
      <c r="C166">
        <v>28</v>
      </c>
      <c r="D166" s="5">
        <v>0.39219999999999999</v>
      </c>
      <c r="E166" s="5">
        <v>0.38819999999999999</v>
      </c>
      <c r="F166" s="6">
        <v>86.65</v>
      </c>
      <c r="G166" s="6">
        <v>87.8</v>
      </c>
      <c r="H166" s="6">
        <v>84.13</v>
      </c>
    </row>
    <row r="167" spans="1:8">
      <c r="A167" t="s">
        <v>50</v>
      </c>
      <c r="B167" t="s">
        <v>51</v>
      </c>
      <c r="C167">
        <v>29</v>
      </c>
      <c r="D167" s="5">
        <v>0.3765</v>
      </c>
      <c r="E167" s="5">
        <v>0.39029999999999998</v>
      </c>
      <c r="F167" s="6">
        <v>87.15</v>
      </c>
      <c r="G167" s="6">
        <v>86.7</v>
      </c>
      <c r="H167" s="6">
        <v>84.13</v>
      </c>
    </row>
    <row r="168" spans="1:8">
      <c r="A168" t="s">
        <v>50</v>
      </c>
      <c r="B168" t="s">
        <v>51</v>
      </c>
      <c r="C168">
        <v>30</v>
      </c>
      <c r="D168" s="5">
        <v>0.37619999999999998</v>
      </c>
      <c r="E168" s="5">
        <v>0.3548</v>
      </c>
      <c r="F168" s="6">
        <v>87.13</v>
      </c>
      <c r="G168" s="6">
        <v>88</v>
      </c>
      <c r="H168" s="6">
        <v>84.13</v>
      </c>
    </row>
    <row r="169" spans="1:8">
      <c r="A169" t="s">
        <v>50</v>
      </c>
      <c r="B169" t="s">
        <v>51</v>
      </c>
      <c r="C169">
        <v>31</v>
      </c>
      <c r="D169" s="5">
        <v>0.3634</v>
      </c>
      <c r="E169" s="5">
        <v>0.35210000000000002</v>
      </c>
      <c r="F169" s="6">
        <v>87.59</v>
      </c>
      <c r="G169" s="6">
        <v>87.5</v>
      </c>
      <c r="H169" s="6">
        <v>84.13</v>
      </c>
    </row>
    <row r="170" spans="1:8">
      <c r="A170" t="s">
        <v>50</v>
      </c>
      <c r="B170" t="s">
        <v>51</v>
      </c>
      <c r="C170">
        <v>32</v>
      </c>
      <c r="D170" s="5">
        <v>0.36159999999999998</v>
      </c>
      <c r="E170" s="5">
        <v>0.36459999999999998</v>
      </c>
      <c r="F170" s="6">
        <v>87.62</v>
      </c>
      <c r="G170" s="6">
        <v>87.4</v>
      </c>
      <c r="H170" s="6">
        <v>84.13</v>
      </c>
    </row>
    <row r="171" spans="1:8">
      <c r="A171" t="s">
        <v>50</v>
      </c>
      <c r="B171" t="s">
        <v>51</v>
      </c>
      <c r="C171">
        <v>33</v>
      </c>
      <c r="D171" s="5">
        <v>0.35249999999999998</v>
      </c>
      <c r="E171" s="5">
        <v>0.37669999999999998</v>
      </c>
      <c r="F171" s="6">
        <v>88.03</v>
      </c>
      <c r="G171" s="6">
        <v>87.2</v>
      </c>
      <c r="H171" s="6">
        <v>84.13</v>
      </c>
    </row>
    <row r="172" spans="1:8">
      <c r="A172" t="s">
        <v>50</v>
      </c>
      <c r="B172" t="s">
        <v>51</v>
      </c>
      <c r="C172">
        <v>34</v>
      </c>
      <c r="D172" s="5">
        <v>0.34710000000000002</v>
      </c>
      <c r="E172" s="5">
        <v>0.36580000000000001</v>
      </c>
      <c r="F172" s="6">
        <v>88.16</v>
      </c>
      <c r="G172" s="6">
        <v>88.1</v>
      </c>
      <c r="H172" s="6">
        <v>84.13</v>
      </c>
    </row>
    <row r="173" spans="1:8">
      <c r="A173" t="s">
        <v>50</v>
      </c>
      <c r="B173" t="s">
        <v>51</v>
      </c>
      <c r="C173">
        <v>35</v>
      </c>
      <c r="D173" s="5">
        <v>0.33860000000000001</v>
      </c>
      <c r="E173" s="5">
        <v>0.37630000000000002</v>
      </c>
      <c r="F173" s="6">
        <v>88.46</v>
      </c>
      <c r="G173" s="6">
        <v>87.9</v>
      </c>
      <c r="H173" s="6">
        <v>84.13</v>
      </c>
    </row>
    <row r="174" spans="1:8">
      <c r="A174" t="s">
        <v>50</v>
      </c>
      <c r="B174" t="s">
        <v>51</v>
      </c>
      <c r="C174">
        <v>36</v>
      </c>
      <c r="D174" s="5">
        <v>0.33789999999999998</v>
      </c>
      <c r="E174" s="5">
        <v>0.36309999999999998</v>
      </c>
      <c r="F174" s="6">
        <v>88.51</v>
      </c>
      <c r="G174" s="6">
        <v>87.5</v>
      </c>
      <c r="H174" s="6">
        <v>84.13</v>
      </c>
    </row>
    <row r="175" spans="1:8">
      <c r="A175" t="s">
        <v>50</v>
      </c>
      <c r="B175" t="s">
        <v>51</v>
      </c>
      <c r="C175">
        <v>37</v>
      </c>
      <c r="D175" s="5">
        <v>0.33</v>
      </c>
      <c r="E175" s="5">
        <v>0.33560000000000001</v>
      </c>
      <c r="F175" s="6">
        <v>88.79</v>
      </c>
      <c r="G175" s="6">
        <v>88.4</v>
      </c>
      <c r="H175" s="6">
        <v>84.13</v>
      </c>
    </row>
    <row r="176" spans="1:8">
      <c r="A176" t="s">
        <v>50</v>
      </c>
      <c r="B176" t="s">
        <v>51</v>
      </c>
      <c r="C176">
        <v>38</v>
      </c>
      <c r="D176" s="5">
        <v>0.32829999999999998</v>
      </c>
      <c r="E176" s="5">
        <v>0.38290000000000002</v>
      </c>
      <c r="F176" s="6">
        <v>88.74</v>
      </c>
      <c r="G176" s="6">
        <v>87.8</v>
      </c>
      <c r="H176" s="6">
        <v>84.13</v>
      </c>
    </row>
    <row r="177" spans="1:8">
      <c r="A177" t="s">
        <v>50</v>
      </c>
      <c r="B177" t="s">
        <v>51</v>
      </c>
      <c r="C177">
        <v>39</v>
      </c>
      <c r="D177" s="5">
        <v>0.3216</v>
      </c>
      <c r="E177" s="5">
        <v>0.40689999999999998</v>
      </c>
      <c r="F177" s="6">
        <v>88.97</v>
      </c>
      <c r="G177" s="6">
        <v>86.9</v>
      </c>
      <c r="H177" s="6">
        <v>84.13</v>
      </c>
    </row>
    <row r="178" spans="1:8">
      <c r="A178" t="s">
        <v>50</v>
      </c>
      <c r="B178" t="s">
        <v>51</v>
      </c>
      <c r="C178">
        <v>40</v>
      </c>
      <c r="D178" s="5">
        <v>0.31879999999999997</v>
      </c>
      <c r="E178" s="5">
        <v>0.35749999999999998</v>
      </c>
      <c r="F178" s="6">
        <v>89.16</v>
      </c>
      <c r="G178" s="6">
        <v>87.4</v>
      </c>
      <c r="H178" s="6">
        <v>84.13</v>
      </c>
    </row>
    <row r="179" spans="1:8">
      <c r="A179" t="s">
        <v>50</v>
      </c>
      <c r="B179" t="s">
        <v>51</v>
      </c>
      <c r="C179">
        <v>41</v>
      </c>
      <c r="D179" s="5">
        <v>0.3125</v>
      </c>
      <c r="E179" s="5">
        <v>0.35389999999999999</v>
      </c>
      <c r="F179" s="6">
        <v>89.24</v>
      </c>
      <c r="G179" s="6">
        <v>89.4</v>
      </c>
      <c r="H179" s="6">
        <v>84.13</v>
      </c>
    </row>
    <row r="180" spans="1:8">
      <c r="A180" t="s">
        <v>50</v>
      </c>
      <c r="B180" t="s">
        <v>51</v>
      </c>
      <c r="C180">
        <v>42</v>
      </c>
      <c r="D180" s="5">
        <v>0.30499999999999999</v>
      </c>
      <c r="E180" s="5">
        <v>0.34699999999999998</v>
      </c>
      <c r="F180" s="6">
        <v>89.68</v>
      </c>
      <c r="G180" s="6">
        <v>88.8</v>
      </c>
      <c r="H180" s="6">
        <v>84.13</v>
      </c>
    </row>
    <row r="181" spans="1:8">
      <c r="A181" t="s">
        <v>50</v>
      </c>
      <c r="B181" t="s">
        <v>51</v>
      </c>
      <c r="C181">
        <v>43</v>
      </c>
      <c r="D181" s="5">
        <v>0.30320000000000003</v>
      </c>
      <c r="E181" s="5">
        <v>0.36109999999999998</v>
      </c>
      <c r="F181" s="6">
        <v>89.67</v>
      </c>
      <c r="G181" s="6">
        <v>87.8</v>
      </c>
      <c r="H181" s="6">
        <v>84.13</v>
      </c>
    </row>
    <row r="182" spans="1:8">
      <c r="A182" t="s">
        <v>50</v>
      </c>
      <c r="B182" t="s">
        <v>51</v>
      </c>
      <c r="C182">
        <v>44</v>
      </c>
      <c r="D182" s="5">
        <v>0.29609999999999997</v>
      </c>
      <c r="E182" s="5">
        <v>0.33629999999999999</v>
      </c>
      <c r="F182" s="6">
        <v>89.85</v>
      </c>
      <c r="G182" s="6">
        <v>89.2</v>
      </c>
      <c r="H182" s="6">
        <v>84.13</v>
      </c>
    </row>
    <row r="183" spans="1:8">
      <c r="A183" t="s">
        <v>50</v>
      </c>
      <c r="B183" t="s">
        <v>51</v>
      </c>
      <c r="C183">
        <v>45</v>
      </c>
      <c r="D183" s="5">
        <v>0.30009999999999998</v>
      </c>
      <c r="E183" s="5">
        <v>0.34399999999999997</v>
      </c>
      <c r="F183" s="6">
        <v>89.68</v>
      </c>
      <c r="G183" s="6">
        <v>88</v>
      </c>
      <c r="H183" s="6">
        <v>84.13</v>
      </c>
    </row>
    <row r="184" spans="1:8">
      <c r="A184" t="s">
        <v>50</v>
      </c>
      <c r="B184" t="s">
        <v>51</v>
      </c>
      <c r="C184">
        <v>46</v>
      </c>
      <c r="D184" s="5">
        <v>0.2878</v>
      </c>
      <c r="E184" s="5">
        <v>0.3584</v>
      </c>
      <c r="F184" s="6">
        <v>90.2</v>
      </c>
      <c r="G184" s="6">
        <v>88.5</v>
      </c>
      <c r="H184" s="6">
        <v>84.13</v>
      </c>
    </row>
    <row r="185" spans="1:8">
      <c r="A185" t="s">
        <v>50</v>
      </c>
      <c r="B185" t="s">
        <v>51</v>
      </c>
      <c r="C185">
        <v>47</v>
      </c>
      <c r="D185" s="5">
        <v>0.29189999999999999</v>
      </c>
      <c r="E185" s="5">
        <v>0.37069999999999997</v>
      </c>
      <c r="F185" s="6">
        <v>90.15</v>
      </c>
      <c r="G185" s="6">
        <v>88.3</v>
      </c>
      <c r="H185" s="6">
        <v>84.13</v>
      </c>
    </row>
    <row r="186" spans="1:8">
      <c r="A186" t="s">
        <v>50</v>
      </c>
      <c r="B186" t="s">
        <v>51</v>
      </c>
      <c r="C186">
        <v>48</v>
      </c>
      <c r="D186" s="5">
        <v>0.28220000000000001</v>
      </c>
      <c r="E186" s="5">
        <v>0.34799999999999998</v>
      </c>
      <c r="F186" s="6">
        <v>90.32</v>
      </c>
      <c r="G186" s="6">
        <v>89.6</v>
      </c>
      <c r="H186" s="6">
        <v>84.13</v>
      </c>
    </row>
    <row r="187" spans="1:8">
      <c r="A187" t="s">
        <v>50</v>
      </c>
      <c r="B187" t="s">
        <v>51</v>
      </c>
      <c r="C187">
        <v>49</v>
      </c>
      <c r="D187" s="5">
        <v>0.2838</v>
      </c>
      <c r="E187" s="5">
        <v>0.34329999999999999</v>
      </c>
      <c r="F187" s="6">
        <v>90.3</v>
      </c>
      <c r="G187" s="6">
        <v>87.8</v>
      </c>
      <c r="H187" s="6">
        <v>84.13</v>
      </c>
    </row>
    <row r="188" spans="1:8">
      <c r="A188" t="s">
        <v>50</v>
      </c>
      <c r="B188" t="s">
        <v>51</v>
      </c>
      <c r="C188">
        <v>50</v>
      </c>
      <c r="D188" s="5">
        <v>0.2787</v>
      </c>
      <c r="E188" s="5">
        <v>0.32800000000000001</v>
      </c>
      <c r="F188" s="6">
        <v>90.43</v>
      </c>
      <c r="G188" s="6">
        <v>89.7</v>
      </c>
      <c r="H188" s="6">
        <v>84.13</v>
      </c>
    </row>
    <row r="189" spans="1:8">
      <c r="A189" t="s">
        <v>53</v>
      </c>
      <c r="B189" t="s">
        <v>54</v>
      </c>
      <c r="C189">
        <v>1</v>
      </c>
      <c r="D189" s="5">
        <v>1.7343</v>
      </c>
      <c r="E189" s="5">
        <v>1.4187000000000001</v>
      </c>
      <c r="F189" s="6">
        <v>42.63</v>
      </c>
      <c r="G189" s="6">
        <v>58.4</v>
      </c>
      <c r="H189" s="6">
        <v>18.88</v>
      </c>
    </row>
    <row r="190" spans="1:8">
      <c r="A190" t="s">
        <v>53</v>
      </c>
      <c r="B190" t="s">
        <v>54</v>
      </c>
      <c r="C190">
        <v>2</v>
      </c>
      <c r="D190" s="5">
        <v>1.4710000000000001</v>
      </c>
      <c r="E190" s="5">
        <v>1.3512</v>
      </c>
      <c r="F190" s="6">
        <v>56.44</v>
      </c>
      <c r="G190" s="6">
        <v>63.6</v>
      </c>
      <c r="H190" s="6">
        <v>18.88</v>
      </c>
    </row>
    <row r="191" spans="1:8">
      <c r="A191" t="s">
        <v>53</v>
      </c>
      <c r="B191" t="s">
        <v>54</v>
      </c>
      <c r="C191">
        <v>3</v>
      </c>
      <c r="D191" s="5">
        <v>1.3498000000000001</v>
      </c>
      <c r="E191" s="5">
        <v>1.29</v>
      </c>
      <c r="F191" s="6">
        <v>62.93</v>
      </c>
      <c r="G191" s="6">
        <v>64.2</v>
      </c>
      <c r="H191" s="6">
        <v>18.88</v>
      </c>
    </row>
    <row r="192" spans="1:8">
      <c r="A192" t="s">
        <v>53</v>
      </c>
      <c r="B192" t="s">
        <v>54</v>
      </c>
      <c r="C192">
        <v>4</v>
      </c>
      <c r="D192" s="5">
        <v>1.2738</v>
      </c>
      <c r="E192" s="5">
        <v>1.1163000000000001</v>
      </c>
      <c r="F192" s="6">
        <v>66.33</v>
      </c>
      <c r="G192" s="6">
        <v>72.400000000000006</v>
      </c>
      <c r="H192" s="6">
        <v>18.88</v>
      </c>
    </row>
    <row r="193" spans="1:8">
      <c r="A193" t="s">
        <v>53</v>
      </c>
      <c r="B193" t="s">
        <v>54</v>
      </c>
      <c r="C193">
        <v>5</v>
      </c>
      <c r="D193" s="5">
        <v>1.2170000000000001</v>
      </c>
      <c r="E193" s="5">
        <v>1.0852999999999999</v>
      </c>
      <c r="F193" s="6">
        <v>69.44</v>
      </c>
      <c r="G193" s="6">
        <v>74.2</v>
      </c>
      <c r="H193" s="6">
        <v>18.88</v>
      </c>
    </row>
    <row r="194" spans="1:8">
      <c r="A194" t="s">
        <v>53</v>
      </c>
      <c r="B194" t="s">
        <v>54</v>
      </c>
      <c r="C194">
        <v>6</v>
      </c>
      <c r="D194" s="5">
        <v>1.177</v>
      </c>
      <c r="E194" s="5">
        <v>1.0615000000000001</v>
      </c>
      <c r="F194" s="6">
        <v>71.03</v>
      </c>
      <c r="G194" s="6">
        <v>74.900000000000006</v>
      </c>
      <c r="H194" s="6">
        <v>18.88</v>
      </c>
    </row>
    <row r="195" spans="1:8">
      <c r="A195" t="s">
        <v>53</v>
      </c>
      <c r="B195" t="s">
        <v>54</v>
      </c>
      <c r="C195">
        <v>7</v>
      </c>
      <c r="D195" s="5">
        <v>1.1445000000000001</v>
      </c>
      <c r="E195" s="5">
        <v>0.98780000000000001</v>
      </c>
      <c r="F195" s="6">
        <v>72.53</v>
      </c>
      <c r="G195" s="6">
        <v>79</v>
      </c>
      <c r="H195" s="6">
        <v>18.88</v>
      </c>
    </row>
    <row r="196" spans="1:8">
      <c r="A196" t="s">
        <v>53</v>
      </c>
      <c r="B196" t="s">
        <v>54</v>
      </c>
      <c r="C196">
        <v>8</v>
      </c>
      <c r="D196" s="5">
        <v>1.1145</v>
      </c>
      <c r="E196" s="5">
        <v>0.98380000000000001</v>
      </c>
      <c r="F196" s="6">
        <v>73.930000000000007</v>
      </c>
      <c r="G196" s="6">
        <v>79.5</v>
      </c>
      <c r="H196" s="6">
        <v>18.88</v>
      </c>
    </row>
    <row r="197" spans="1:8">
      <c r="A197" t="s">
        <v>53</v>
      </c>
      <c r="B197" t="s">
        <v>54</v>
      </c>
      <c r="C197">
        <v>9</v>
      </c>
      <c r="D197" s="5">
        <v>1.0912999999999999</v>
      </c>
      <c r="E197" s="5">
        <v>0.99870000000000003</v>
      </c>
      <c r="F197" s="6">
        <v>75.19</v>
      </c>
      <c r="G197" s="6">
        <v>77.7</v>
      </c>
      <c r="H197" s="6">
        <v>18.88</v>
      </c>
    </row>
    <row r="198" spans="1:8">
      <c r="A198" t="s">
        <v>53</v>
      </c>
      <c r="B198" t="s">
        <v>54</v>
      </c>
      <c r="C198">
        <v>10</v>
      </c>
      <c r="D198" s="5">
        <v>1.0753999999999999</v>
      </c>
      <c r="E198" s="5">
        <v>0.95179999999999998</v>
      </c>
      <c r="F198" s="6">
        <v>75.989999999999995</v>
      </c>
      <c r="G198" s="6">
        <v>79.900000000000006</v>
      </c>
      <c r="H198" s="6">
        <v>18.88</v>
      </c>
    </row>
    <row r="199" spans="1:8">
      <c r="A199" t="s">
        <v>53</v>
      </c>
      <c r="B199" t="s">
        <v>54</v>
      </c>
      <c r="C199">
        <v>11</v>
      </c>
      <c r="D199" s="5">
        <v>1.0546</v>
      </c>
      <c r="E199" s="5">
        <v>0.92920000000000003</v>
      </c>
      <c r="F199" s="6">
        <v>77.150000000000006</v>
      </c>
      <c r="G199" s="6">
        <v>82.2</v>
      </c>
      <c r="H199" s="6">
        <v>18.88</v>
      </c>
    </row>
    <row r="200" spans="1:8">
      <c r="A200" t="s">
        <v>53</v>
      </c>
      <c r="B200" t="s">
        <v>54</v>
      </c>
      <c r="C200">
        <v>12</v>
      </c>
      <c r="D200" s="5">
        <v>1.0450999999999999</v>
      </c>
      <c r="E200" s="5">
        <v>0.90490000000000004</v>
      </c>
      <c r="F200" s="6">
        <v>77.09</v>
      </c>
      <c r="G200" s="6">
        <v>82.4</v>
      </c>
      <c r="H200" s="6">
        <v>18.88</v>
      </c>
    </row>
    <row r="201" spans="1:8">
      <c r="A201" t="s">
        <v>53</v>
      </c>
      <c r="B201" t="s">
        <v>54</v>
      </c>
      <c r="C201">
        <v>13</v>
      </c>
      <c r="D201" s="5">
        <v>1.0210999999999999</v>
      </c>
      <c r="E201" s="5">
        <v>0.92679999999999996</v>
      </c>
      <c r="F201" s="6">
        <v>78.42</v>
      </c>
      <c r="G201" s="6">
        <v>82.2</v>
      </c>
      <c r="H201" s="6">
        <v>18.88</v>
      </c>
    </row>
    <row r="202" spans="1:8">
      <c r="A202" t="s">
        <v>53</v>
      </c>
      <c r="B202" t="s">
        <v>54</v>
      </c>
      <c r="C202">
        <v>14</v>
      </c>
      <c r="D202" s="5">
        <v>1.0073000000000001</v>
      </c>
      <c r="E202" s="5">
        <v>0.87370000000000003</v>
      </c>
      <c r="F202" s="6">
        <v>79.09</v>
      </c>
      <c r="G202" s="6">
        <v>83.9</v>
      </c>
      <c r="H202" s="6">
        <v>18.88</v>
      </c>
    </row>
    <row r="203" spans="1:8">
      <c r="A203" t="s">
        <v>53</v>
      </c>
      <c r="B203" t="s">
        <v>54</v>
      </c>
      <c r="C203">
        <v>15</v>
      </c>
      <c r="D203" s="5">
        <v>0.99939999999999996</v>
      </c>
      <c r="E203" s="5">
        <v>0.89759999999999995</v>
      </c>
      <c r="F203" s="6">
        <v>79.510000000000005</v>
      </c>
      <c r="G203" s="6">
        <v>83.4</v>
      </c>
      <c r="H203" s="6">
        <v>18.88</v>
      </c>
    </row>
    <row r="204" spans="1:8">
      <c r="A204" t="s">
        <v>53</v>
      </c>
      <c r="B204" t="s">
        <v>54</v>
      </c>
      <c r="C204">
        <v>16</v>
      </c>
      <c r="D204" s="5">
        <v>0.98319999999999996</v>
      </c>
      <c r="E204" s="5">
        <v>0.86719999999999997</v>
      </c>
      <c r="F204" s="6">
        <v>80.13</v>
      </c>
      <c r="G204" s="6">
        <v>84.7</v>
      </c>
      <c r="H204" s="6">
        <v>18.88</v>
      </c>
    </row>
    <row r="205" spans="1:8">
      <c r="A205" t="s">
        <v>53</v>
      </c>
      <c r="B205" t="s">
        <v>54</v>
      </c>
      <c r="C205">
        <v>17</v>
      </c>
      <c r="D205" s="5">
        <v>0.97760000000000002</v>
      </c>
      <c r="E205" s="5">
        <v>0.87180000000000002</v>
      </c>
      <c r="F205" s="6">
        <v>80.44</v>
      </c>
      <c r="G205" s="6">
        <v>83.6</v>
      </c>
      <c r="H205" s="6">
        <v>18.88</v>
      </c>
    </row>
    <row r="206" spans="1:8">
      <c r="A206" t="s">
        <v>53</v>
      </c>
      <c r="B206" t="s">
        <v>54</v>
      </c>
      <c r="C206">
        <v>18</v>
      </c>
      <c r="D206" s="5">
        <v>0.96630000000000005</v>
      </c>
      <c r="E206" s="5">
        <v>0.86560000000000004</v>
      </c>
      <c r="F206" s="6">
        <v>81.03</v>
      </c>
      <c r="G206" s="6">
        <v>84.6</v>
      </c>
      <c r="H206" s="6">
        <v>18.88</v>
      </c>
    </row>
    <row r="207" spans="1:8">
      <c r="A207" t="s">
        <v>53</v>
      </c>
      <c r="B207" t="s">
        <v>54</v>
      </c>
      <c r="C207">
        <v>19</v>
      </c>
      <c r="D207" s="5">
        <v>0.95289999999999997</v>
      </c>
      <c r="E207" s="5">
        <v>0.8387</v>
      </c>
      <c r="F207" s="6">
        <v>81.73</v>
      </c>
      <c r="G207" s="6">
        <v>86</v>
      </c>
      <c r="H207" s="6">
        <v>18.88</v>
      </c>
    </row>
    <row r="208" spans="1:8">
      <c r="A208" t="s">
        <v>53</v>
      </c>
      <c r="B208" t="s">
        <v>54</v>
      </c>
      <c r="C208">
        <v>20</v>
      </c>
      <c r="D208" s="5">
        <v>0.95209999999999995</v>
      </c>
      <c r="E208" s="5">
        <v>0.85389999999999999</v>
      </c>
      <c r="F208" s="6">
        <v>81.41</v>
      </c>
      <c r="G208" s="6">
        <v>84.6</v>
      </c>
      <c r="H208" s="6">
        <v>18.88</v>
      </c>
    </row>
    <row r="209" spans="1:8">
      <c r="A209" t="s">
        <v>53</v>
      </c>
      <c r="B209" t="s">
        <v>54</v>
      </c>
      <c r="C209">
        <v>21</v>
      </c>
      <c r="D209" s="5">
        <v>0.94189999999999996</v>
      </c>
      <c r="E209" s="5">
        <v>0.82979999999999998</v>
      </c>
      <c r="F209" s="6">
        <v>81.98</v>
      </c>
      <c r="G209" s="6">
        <v>85.8</v>
      </c>
      <c r="H209" s="6">
        <v>18.88</v>
      </c>
    </row>
    <row r="210" spans="1:8">
      <c r="A210" t="s">
        <v>53</v>
      </c>
      <c r="B210" t="s">
        <v>54</v>
      </c>
      <c r="C210">
        <v>22</v>
      </c>
      <c r="D210" s="5">
        <v>0.93769999999999998</v>
      </c>
      <c r="E210" s="5">
        <v>0.84</v>
      </c>
      <c r="F210" s="6">
        <v>82.36</v>
      </c>
      <c r="G210" s="6">
        <v>84.6</v>
      </c>
      <c r="H210" s="6">
        <v>18.88</v>
      </c>
    </row>
    <row r="211" spans="1:8">
      <c r="A211" t="s">
        <v>53</v>
      </c>
      <c r="B211" t="s">
        <v>54</v>
      </c>
      <c r="C211">
        <v>23</v>
      </c>
      <c r="D211" s="5">
        <v>0.92469999999999997</v>
      </c>
      <c r="E211" s="5">
        <v>0.83979999999999999</v>
      </c>
      <c r="F211" s="6">
        <v>82.96</v>
      </c>
      <c r="G211" s="6">
        <v>85.7</v>
      </c>
      <c r="H211" s="6">
        <v>18.88</v>
      </c>
    </row>
    <row r="212" spans="1:8">
      <c r="A212" t="s">
        <v>53</v>
      </c>
      <c r="B212" t="s">
        <v>54</v>
      </c>
      <c r="C212">
        <v>24</v>
      </c>
      <c r="D212" s="5">
        <v>0.92200000000000004</v>
      </c>
      <c r="E212" s="5">
        <v>0.82679999999999998</v>
      </c>
      <c r="F212" s="6">
        <v>83.02</v>
      </c>
      <c r="G212" s="6">
        <v>86.2</v>
      </c>
      <c r="H212" s="6">
        <v>18.88</v>
      </c>
    </row>
    <row r="213" spans="1:8">
      <c r="A213" t="s">
        <v>53</v>
      </c>
      <c r="B213" t="s">
        <v>54</v>
      </c>
      <c r="C213">
        <v>25</v>
      </c>
      <c r="D213" s="5">
        <v>0.91220000000000001</v>
      </c>
      <c r="E213" s="5">
        <v>0.83899999999999997</v>
      </c>
      <c r="F213" s="6">
        <v>83.14</v>
      </c>
      <c r="G213" s="6">
        <v>85.8</v>
      </c>
      <c r="H213" s="6">
        <v>18.88</v>
      </c>
    </row>
    <row r="214" spans="1:8">
      <c r="A214" t="s">
        <v>53</v>
      </c>
      <c r="B214" t="s">
        <v>54</v>
      </c>
      <c r="C214">
        <v>26</v>
      </c>
      <c r="D214" s="5">
        <v>0.90790000000000004</v>
      </c>
      <c r="E214" s="5">
        <v>0.81320000000000003</v>
      </c>
      <c r="F214" s="6">
        <v>83.76</v>
      </c>
      <c r="G214" s="6">
        <v>86.2</v>
      </c>
      <c r="H214" s="6">
        <v>18.88</v>
      </c>
    </row>
    <row r="215" spans="1:8">
      <c r="A215" t="s">
        <v>53</v>
      </c>
      <c r="B215" t="s">
        <v>54</v>
      </c>
      <c r="C215">
        <v>27</v>
      </c>
      <c r="D215" s="5">
        <v>0.8982</v>
      </c>
      <c r="E215" s="5">
        <v>0.8044</v>
      </c>
      <c r="F215" s="6">
        <v>84.16</v>
      </c>
      <c r="G215" s="6">
        <v>87.5</v>
      </c>
      <c r="H215" s="6">
        <v>18.88</v>
      </c>
    </row>
    <row r="216" spans="1:8">
      <c r="A216" t="s">
        <v>53</v>
      </c>
      <c r="B216" t="s">
        <v>54</v>
      </c>
      <c r="C216">
        <v>28</v>
      </c>
      <c r="D216" s="5">
        <v>0.89839999999999998</v>
      </c>
      <c r="E216" s="5">
        <v>0.8206</v>
      </c>
      <c r="F216" s="6">
        <v>84.09</v>
      </c>
      <c r="G216" s="6">
        <v>86.1</v>
      </c>
      <c r="H216" s="6">
        <v>18.88</v>
      </c>
    </row>
    <row r="217" spans="1:8">
      <c r="A217" t="s">
        <v>53</v>
      </c>
      <c r="B217" t="s">
        <v>54</v>
      </c>
      <c r="C217">
        <v>29</v>
      </c>
      <c r="D217" s="5">
        <v>0.8911</v>
      </c>
      <c r="E217" s="5">
        <v>0.79010000000000002</v>
      </c>
      <c r="F217" s="6">
        <v>84.45</v>
      </c>
      <c r="G217" s="6">
        <v>88.5</v>
      </c>
      <c r="H217" s="6">
        <v>18.88</v>
      </c>
    </row>
    <row r="218" spans="1:8">
      <c r="A218" t="s">
        <v>53</v>
      </c>
      <c r="B218" t="s">
        <v>54</v>
      </c>
      <c r="C218">
        <v>30</v>
      </c>
      <c r="D218" s="5">
        <v>0.88370000000000004</v>
      </c>
      <c r="E218" s="5">
        <v>0.80659999999999998</v>
      </c>
      <c r="F218" s="6">
        <v>84.51</v>
      </c>
      <c r="G218" s="6">
        <v>86.9</v>
      </c>
      <c r="H218" s="6">
        <v>18.88</v>
      </c>
    </row>
    <row r="219" spans="1:8">
      <c r="A219" t="s">
        <v>53</v>
      </c>
      <c r="B219" t="s">
        <v>54</v>
      </c>
      <c r="C219">
        <v>31</v>
      </c>
      <c r="D219" s="5">
        <v>0.88349999999999995</v>
      </c>
      <c r="E219" s="5">
        <v>0.80330000000000001</v>
      </c>
      <c r="F219" s="6">
        <v>84.64</v>
      </c>
      <c r="G219" s="6">
        <v>87.5</v>
      </c>
      <c r="H219" s="6">
        <v>18.88</v>
      </c>
    </row>
    <row r="220" spans="1:8">
      <c r="A220" t="s">
        <v>53</v>
      </c>
      <c r="B220" t="s">
        <v>54</v>
      </c>
      <c r="C220">
        <v>32</v>
      </c>
      <c r="D220" s="5">
        <v>0.87629999999999997</v>
      </c>
      <c r="E220" s="5">
        <v>0.80610000000000004</v>
      </c>
      <c r="F220" s="6">
        <v>84.97</v>
      </c>
      <c r="G220" s="6">
        <v>87.5</v>
      </c>
      <c r="H220" s="6">
        <v>18.88</v>
      </c>
    </row>
    <row r="221" spans="1:8">
      <c r="A221" t="s">
        <v>53</v>
      </c>
      <c r="B221" t="s">
        <v>54</v>
      </c>
      <c r="C221">
        <v>33</v>
      </c>
      <c r="D221" s="5">
        <v>0.87470000000000003</v>
      </c>
      <c r="E221" s="5">
        <v>0.81010000000000004</v>
      </c>
      <c r="F221" s="6">
        <v>85.11</v>
      </c>
      <c r="G221" s="6">
        <v>86.7</v>
      </c>
      <c r="H221" s="6">
        <v>18.88</v>
      </c>
    </row>
    <row r="222" spans="1:8">
      <c r="A222" t="s">
        <v>53</v>
      </c>
      <c r="B222" t="s">
        <v>54</v>
      </c>
      <c r="C222">
        <v>34</v>
      </c>
      <c r="D222" s="5">
        <v>0.86890000000000001</v>
      </c>
      <c r="E222" s="5">
        <v>0.80779999999999996</v>
      </c>
      <c r="F222" s="6">
        <v>85.32</v>
      </c>
      <c r="G222" s="6">
        <v>86.6</v>
      </c>
      <c r="H222" s="6">
        <v>18.88</v>
      </c>
    </row>
    <row r="223" spans="1:8">
      <c r="A223" t="s">
        <v>53</v>
      </c>
      <c r="B223" t="s">
        <v>54</v>
      </c>
      <c r="C223">
        <v>35</v>
      </c>
      <c r="D223" s="5">
        <v>0.86380000000000001</v>
      </c>
      <c r="E223" s="5">
        <v>0.80740000000000001</v>
      </c>
      <c r="F223" s="6">
        <v>85.61</v>
      </c>
      <c r="G223" s="6">
        <v>86.5</v>
      </c>
      <c r="H223" s="6">
        <v>18.88</v>
      </c>
    </row>
    <row r="224" spans="1:8">
      <c r="A224" t="s">
        <v>53</v>
      </c>
      <c r="B224" t="s">
        <v>54</v>
      </c>
      <c r="C224">
        <v>36</v>
      </c>
      <c r="D224" s="5">
        <v>0.85809999999999997</v>
      </c>
      <c r="E224" s="5">
        <v>0.81040000000000001</v>
      </c>
      <c r="F224" s="6">
        <v>85.91</v>
      </c>
      <c r="G224" s="6">
        <v>87.4</v>
      </c>
      <c r="H224" s="6">
        <v>18.88</v>
      </c>
    </row>
    <row r="225" spans="1:8">
      <c r="A225" t="s">
        <v>53</v>
      </c>
      <c r="B225" t="s">
        <v>54</v>
      </c>
      <c r="C225">
        <v>37</v>
      </c>
      <c r="D225" s="5">
        <v>0.85809999999999997</v>
      </c>
      <c r="E225" s="5">
        <v>0.78820000000000001</v>
      </c>
      <c r="F225" s="6">
        <v>85.77</v>
      </c>
      <c r="G225" s="6">
        <v>87.7</v>
      </c>
      <c r="H225" s="6">
        <v>18.88</v>
      </c>
    </row>
    <row r="226" spans="1:8">
      <c r="A226" t="s">
        <v>53</v>
      </c>
      <c r="B226" t="s">
        <v>54</v>
      </c>
      <c r="C226">
        <v>38</v>
      </c>
      <c r="D226" s="5">
        <v>0.85570000000000002</v>
      </c>
      <c r="E226" s="5">
        <v>0.79059999999999997</v>
      </c>
      <c r="F226" s="6">
        <v>85.82</v>
      </c>
      <c r="G226" s="6">
        <v>87.6</v>
      </c>
      <c r="H226" s="6">
        <v>18.88</v>
      </c>
    </row>
    <row r="227" spans="1:8">
      <c r="A227" t="s">
        <v>53</v>
      </c>
      <c r="B227" t="s">
        <v>54</v>
      </c>
      <c r="C227">
        <v>39</v>
      </c>
      <c r="D227" s="5">
        <v>0.85219999999999996</v>
      </c>
      <c r="E227" s="5">
        <v>0.78129999999999999</v>
      </c>
      <c r="F227" s="6">
        <v>85.98</v>
      </c>
      <c r="G227" s="6">
        <v>87.5</v>
      </c>
      <c r="H227" s="6">
        <v>18.88</v>
      </c>
    </row>
    <row r="228" spans="1:8">
      <c r="A228" t="s">
        <v>53</v>
      </c>
      <c r="B228" t="s">
        <v>54</v>
      </c>
      <c r="C228">
        <v>40</v>
      </c>
      <c r="D228" s="5">
        <v>0.84940000000000004</v>
      </c>
      <c r="E228" s="5">
        <v>0.79</v>
      </c>
      <c r="F228" s="6">
        <v>86.21</v>
      </c>
      <c r="G228" s="6">
        <v>87.9</v>
      </c>
      <c r="H228" s="6">
        <v>18.88</v>
      </c>
    </row>
    <row r="229" spans="1:8">
      <c r="A229" t="s">
        <v>53</v>
      </c>
      <c r="B229" t="s">
        <v>54</v>
      </c>
      <c r="C229">
        <v>41</v>
      </c>
      <c r="D229" s="5">
        <v>0.84550000000000003</v>
      </c>
      <c r="E229" s="5">
        <v>0.79259999999999997</v>
      </c>
      <c r="F229" s="6">
        <v>86.42</v>
      </c>
      <c r="G229" s="6">
        <v>87.8</v>
      </c>
      <c r="H229" s="6">
        <v>18.88</v>
      </c>
    </row>
    <row r="230" spans="1:8">
      <c r="A230" t="s">
        <v>53</v>
      </c>
      <c r="B230" t="s">
        <v>54</v>
      </c>
      <c r="C230">
        <v>42</v>
      </c>
      <c r="D230" s="5">
        <v>0.84050000000000002</v>
      </c>
      <c r="E230" s="5">
        <v>0.79879999999999995</v>
      </c>
      <c r="F230" s="6">
        <v>86.74</v>
      </c>
      <c r="G230" s="6">
        <v>87.5</v>
      </c>
      <c r="H230" s="6">
        <v>18.88</v>
      </c>
    </row>
    <row r="231" spans="1:8">
      <c r="A231" t="s">
        <v>53</v>
      </c>
      <c r="B231" t="s">
        <v>54</v>
      </c>
      <c r="C231">
        <v>43</v>
      </c>
      <c r="D231" s="5">
        <v>0.83889999999999998</v>
      </c>
      <c r="E231" s="5">
        <v>0.7823</v>
      </c>
      <c r="F231" s="6">
        <v>86.7</v>
      </c>
      <c r="G231" s="6">
        <v>87.7</v>
      </c>
      <c r="H231" s="6">
        <v>18.88</v>
      </c>
    </row>
    <row r="232" spans="1:8">
      <c r="A232" t="s">
        <v>53</v>
      </c>
      <c r="B232" t="s">
        <v>54</v>
      </c>
      <c r="C232">
        <v>44</v>
      </c>
      <c r="D232" s="5">
        <v>0.82979999999999998</v>
      </c>
      <c r="E232" s="5">
        <v>0.79339999999999999</v>
      </c>
      <c r="F232" s="6">
        <v>87.11</v>
      </c>
      <c r="G232" s="6">
        <v>87.9</v>
      </c>
      <c r="H232" s="6">
        <v>18.88</v>
      </c>
    </row>
    <row r="233" spans="1:8">
      <c r="A233" t="s">
        <v>53</v>
      </c>
      <c r="B233" t="s">
        <v>54</v>
      </c>
      <c r="C233">
        <v>45</v>
      </c>
      <c r="D233" s="5">
        <v>0.82609999999999995</v>
      </c>
      <c r="E233" s="5">
        <v>0.78139999999999998</v>
      </c>
      <c r="F233" s="6">
        <v>87.3</v>
      </c>
      <c r="G233" s="6">
        <v>88.1</v>
      </c>
      <c r="H233" s="6">
        <v>18.88</v>
      </c>
    </row>
    <row r="234" spans="1:8">
      <c r="A234" t="s">
        <v>53</v>
      </c>
      <c r="B234" t="s">
        <v>54</v>
      </c>
      <c r="C234">
        <v>46</v>
      </c>
      <c r="D234" s="5">
        <v>0.82989999999999997</v>
      </c>
      <c r="E234" s="5">
        <v>0.78510000000000002</v>
      </c>
      <c r="F234" s="6">
        <v>87.07</v>
      </c>
      <c r="G234" s="6">
        <v>87.7</v>
      </c>
      <c r="H234" s="6">
        <v>18.88</v>
      </c>
    </row>
    <row r="235" spans="1:8">
      <c r="A235" t="s">
        <v>53</v>
      </c>
      <c r="B235" t="s">
        <v>54</v>
      </c>
      <c r="C235">
        <v>47</v>
      </c>
      <c r="D235" s="5">
        <v>0.82599999999999996</v>
      </c>
      <c r="E235" s="5">
        <v>0.78449999999999998</v>
      </c>
      <c r="F235" s="6">
        <v>87.3</v>
      </c>
      <c r="G235" s="6">
        <v>87.8</v>
      </c>
      <c r="H235" s="6">
        <v>18.88</v>
      </c>
    </row>
    <row r="236" spans="1:8">
      <c r="A236" t="s">
        <v>53</v>
      </c>
      <c r="B236" t="s">
        <v>54</v>
      </c>
      <c r="C236">
        <v>48</v>
      </c>
      <c r="D236" s="5">
        <v>0.82540000000000002</v>
      </c>
      <c r="E236" s="5">
        <v>0.79139999999999999</v>
      </c>
      <c r="F236" s="6">
        <v>87.27</v>
      </c>
      <c r="G236" s="6">
        <v>87.4</v>
      </c>
      <c r="H236" s="6">
        <v>18.88</v>
      </c>
    </row>
    <row r="237" spans="1:8">
      <c r="A237" t="s">
        <v>53</v>
      </c>
      <c r="B237" t="s">
        <v>54</v>
      </c>
      <c r="C237">
        <v>49</v>
      </c>
      <c r="D237" s="5">
        <v>0.82230000000000003</v>
      </c>
      <c r="E237" s="5">
        <v>0.76119999999999999</v>
      </c>
      <c r="F237" s="6">
        <v>87.55</v>
      </c>
      <c r="G237" s="6">
        <v>88.6</v>
      </c>
      <c r="H237" s="6">
        <v>18.88</v>
      </c>
    </row>
    <row r="238" spans="1:8">
      <c r="A238" t="s">
        <v>53</v>
      </c>
      <c r="B238" t="s">
        <v>54</v>
      </c>
      <c r="C238">
        <v>50</v>
      </c>
      <c r="D238" s="5">
        <v>0.81540000000000001</v>
      </c>
      <c r="E238" s="5">
        <v>0.76270000000000004</v>
      </c>
      <c r="F238" s="6">
        <v>87.63</v>
      </c>
      <c r="G238" s="6">
        <v>89</v>
      </c>
      <c r="H238" s="6">
        <v>18.88</v>
      </c>
    </row>
    <row r="239" spans="1:8">
      <c r="A239" t="s">
        <v>56</v>
      </c>
      <c r="B239" t="s">
        <v>57</v>
      </c>
      <c r="C239">
        <v>1</v>
      </c>
      <c r="D239" s="5">
        <v>1.6019000000000001</v>
      </c>
      <c r="E239" s="5">
        <v>1.3762000000000001</v>
      </c>
      <c r="F239" s="6">
        <v>40.71</v>
      </c>
      <c r="G239" s="6">
        <v>49</v>
      </c>
      <c r="H239" s="6">
        <v>47.55</v>
      </c>
    </row>
    <row r="240" spans="1:8">
      <c r="A240" t="s">
        <v>56</v>
      </c>
      <c r="B240" t="s">
        <v>57</v>
      </c>
      <c r="C240">
        <v>2</v>
      </c>
      <c r="D240" s="5">
        <v>1.2332000000000001</v>
      </c>
      <c r="E240" s="5">
        <v>1.1386000000000001</v>
      </c>
      <c r="F240" s="6">
        <v>55.82</v>
      </c>
      <c r="G240" s="6">
        <v>61.2</v>
      </c>
      <c r="H240" s="6">
        <v>47.55</v>
      </c>
    </row>
    <row r="241" spans="1:8">
      <c r="A241" t="s">
        <v>56</v>
      </c>
      <c r="B241" t="s">
        <v>57</v>
      </c>
      <c r="C241">
        <v>3</v>
      </c>
      <c r="D241" s="5">
        <v>1.0458000000000001</v>
      </c>
      <c r="E241" s="5">
        <v>0.82089999999999996</v>
      </c>
      <c r="F241" s="6">
        <v>63.3</v>
      </c>
      <c r="G241" s="6">
        <v>71.7</v>
      </c>
      <c r="H241" s="6">
        <v>47.55</v>
      </c>
    </row>
    <row r="242" spans="1:8">
      <c r="A242" t="s">
        <v>56</v>
      </c>
      <c r="B242" t="s">
        <v>57</v>
      </c>
      <c r="C242">
        <v>4</v>
      </c>
      <c r="D242" s="5">
        <v>0.90820000000000001</v>
      </c>
      <c r="E242" s="5">
        <v>0.73</v>
      </c>
      <c r="F242" s="6">
        <v>68.709999999999994</v>
      </c>
      <c r="G242" s="6">
        <v>75.400000000000006</v>
      </c>
      <c r="H242" s="6">
        <v>47.55</v>
      </c>
    </row>
    <row r="243" spans="1:8">
      <c r="A243" t="s">
        <v>56</v>
      </c>
      <c r="B243" t="s">
        <v>57</v>
      </c>
      <c r="C243">
        <v>5</v>
      </c>
      <c r="D243" s="5">
        <v>0.81040000000000001</v>
      </c>
      <c r="E243" s="5">
        <v>0.64459999999999995</v>
      </c>
      <c r="F243" s="6">
        <v>72.05</v>
      </c>
      <c r="G243" s="6">
        <v>78.599999999999994</v>
      </c>
      <c r="H243" s="6">
        <v>47.55</v>
      </c>
    </row>
    <row r="244" spans="1:8">
      <c r="A244" t="s">
        <v>56</v>
      </c>
      <c r="B244" t="s">
        <v>57</v>
      </c>
      <c r="C244">
        <v>6</v>
      </c>
      <c r="D244" s="5">
        <v>0.73040000000000005</v>
      </c>
      <c r="E244" s="5">
        <v>0.5746</v>
      </c>
      <c r="F244" s="6">
        <v>75.05</v>
      </c>
      <c r="G244" s="6">
        <v>80</v>
      </c>
      <c r="H244" s="6">
        <v>47.55</v>
      </c>
    </row>
    <row r="245" spans="1:8">
      <c r="A245" t="s">
        <v>56</v>
      </c>
      <c r="B245" t="s">
        <v>57</v>
      </c>
      <c r="C245">
        <v>7</v>
      </c>
      <c r="D245" s="5">
        <v>0.66539999999999999</v>
      </c>
      <c r="E245" s="5">
        <v>0.52749999999999997</v>
      </c>
      <c r="F245" s="6">
        <v>77.31</v>
      </c>
      <c r="G245" s="6">
        <v>81.7</v>
      </c>
      <c r="H245" s="6">
        <v>47.55</v>
      </c>
    </row>
    <row r="246" spans="1:8">
      <c r="A246" t="s">
        <v>56</v>
      </c>
      <c r="B246" t="s">
        <v>57</v>
      </c>
      <c r="C246">
        <v>8</v>
      </c>
      <c r="D246" s="5">
        <v>0.61370000000000002</v>
      </c>
      <c r="E246" s="5">
        <v>0.50039999999999996</v>
      </c>
      <c r="F246" s="6">
        <v>79.06</v>
      </c>
      <c r="G246" s="6">
        <v>83.3</v>
      </c>
      <c r="H246" s="6">
        <v>47.55</v>
      </c>
    </row>
    <row r="247" spans="1:8">
      <c r="A247" t="s">
        <v>56</v>
      </c>
      <c r="B247" t="s">
        <v>57</v>
      </c>
      <c r="C247">
        <v>9</v>
      </c>
      <c r="D247" s="5">
        <v>0.57920000000000005</v>
      </c>
      <c r="E247" s="5">
        <v>0.4874</v>
      </c>
      <c r="F247" s="6">
        <v>80.31</v>
      </c>
      <c r="G247" s="6">
        <v>84.1</v>
      </c>
      <c r="H247" s="6">
        <v>47.55</v>
      </c>
    </row>
    <row r="248" spans="1:8">
      <c r="A248" t="s">
        <v>56</v>
      </c>
      <c r="B248" t="s">
        <v>57</v>
      </c>
      <c r="C248">
        <v>10</v>
      </c>
      <c r="D248" s="5">
        <v>0.56030000000000002</v>
      </c>
      <c r="E248" s="5">
        <v>0.48139999999999999</v>
      </c>
      <c r="F248" s="6">
        <v>80.91</v>
      </c>
      <c r="G248" s="6">
        <v>83.7</v>
      </c>
      <c r="H248" s="6">
        <v>47.55</v>
      </c>
    </row>
    <row r="249" spans="1:8">
      <c r="A249" t="s">
        <v>56</v>
      </c>
      <c r="B249" t="s">
        <v>57</v>
      </c>
      <c r="C249">
        <v>11</v>
      </c>
      <c r="D249" s="5">
        <v>0.75970000000000004</v>
      </c>
      <c r="E249" s="5">
        <v>0.65210000000000001</v>
      </c>
      <c r="F249" s="6">
        <v>74.31</v>
      </c>
      <c r="G249" s="6">
        <v>77.599999999999994</v>
      </c>
      <c r="H249" s="6">
        <v>47.55</v>
      </c>
    </row>
    <row r="250" spans="1:8">
      <c r="A250" t="s">
        <v>56</v>
      </c>
      <c r="B250" t="s">
        <v>57</v>
      </c>
      <c r="C250">
        <v>12</v>
      </c>
      <c r="D250" s="5">
        <v>0.70189999999999997</v>
      </c>
      <c r="E250" s="5">
        <v>0.58430000000000004</v>
      </c>
      <c r="F250" s="6">
        <v>76.239999999999995</v>
      </c>
      <c r="G250" s="6">
        <v>79.8</v>
      </c>
      <c r="H250" s="6">
        <v>47.55</v>
      </c>
    </row>
    <row r="251" spans="1:8">
      <c r="A251" t="s">
        <v>56</v>
      </c>
      <c r="B251" t="s">
        <v>57</v>
      </c>
      <c r="C251">
        <v>13</v>
      </c>
      <c r="D251" s="5">
        <v>0.65159999999999996</v>
      </c>
      <c r="E251" s="5">
        <v>0.53520000000000001</v>
      </c>
      <c r="F251" s="6">
        <v>77.959999999999994</v>
      </c>
      <c r="G251" s="6">
        <v>81.900000000000006</v>
      </c>
      <c r="H251" s="6">
        <v>47.55</v>
      </c>
    </row>
    <row r="252" spans="1:8">
      <c r="A252" t="s">
        <v>56</v>
      </c>
      <c r="B252" t="s">
        <v>57</v>
      </c>
      <c r="C252">
        <v>14</v>
      </c>
      <c r="D252" s="5">
        <v>0.60750000000000004</v>
      </c>
      <c r="E252" s="5">
        <v>0.49630000000000002</v>
      </c>
      <c r="F252" s="6">
        <v>79.47</v>
      </c>
      <c r="G252" s="6">
        <v>82.2</v>
      </c>
      <c r="H252" s="6">
        <v>47.55</v>
      </c>
    </row>
    <row r="253" spans="1:8">
      <c r="A253" t="s">
        <v>56</v>
      </c>
      <c r="B253" t="s">
        <v>57</v>
      </c>
      <c r="C253">
        <v>15</v>
      </c>
      <c r="D253" s="5">
        <v>0.55689999999999995</v>
      </c>
      <c r="E253" s="5">
        <v>0.48870000000000002</v>
      </c>
      <c r="F253" s="6">
        <v>81.290000000000006</v>
      </c>
      <c r="G253" s="6">
        <v>82.6</v>
      </c>
      <c r="H253" s="6">
        <v>47.55</v>
      </c>
    </row>
    <row r="254" spans="1:8">
      <c r="A254" t="s">
        <v>56</v>
      </c>
      <c r="B254" t="s">
        <v>57</v>
      </c>
      <c r="C254">
        <v>16</v>
      </c>
      <c r="D254" s="5">
        <v>0.51490000000000002</v>
      </c>
      <c r="E254" s="5">
        <v>0.43559999999999999</v>
      </c>
      <c r="F254" s="6">
        <v>82.64</v>
      </c>
      <c r="G254" s="6">
        <v>85.4</v>
      </c>
      <c r="H254" s="6">
        <v>47.55</v>
      </c>
    </row>
    <row r="255" spans="1:8">
      <c r="A255" t="s">
        <v>56</v>
      </c>
      <c r="B255" t="s">
        <v>57</v>
      </c>
      <c r="C255">
        <v>17</v>
      </c>
      <c r="D255" s="5">
        <v>0.47349999999999998</v>
      </c>
      <c r="E255" s="5">
        <v>0.40129999999999999</v>
      </c>
      <c r="F255" s="6">
        <v>84.11</v>
      </c>
      <c r="G255" s="6">
        <v>85.6</v>
      </c>
      <c r="H255" s="6">
        <v>47.55</v>
      </c>
    </row>
    <row r="256" spans="1:8">
      <c r="A256" t="s">
        <v>56</v>
      </c>
      <c r="B256" t="s">
        <v>57</v>
      </c>
      <c r="C256">
        <v>18</v>
      </c>
      <c r="D256" s="5">
        <v>0.43980000000000002</v>
      </c>
      <c r="E256" s="5">
        <v>0.3695</v>
      </c>
      <c r="F256" s="6">
        <v>85.04</v>
      </c>
      <c r="G256" s="6">
        <v>86.6</v>
      </c>
      <c r="H256" s="6">
        <v>47.55</v>
      </c>
    </row>
    <row r="257" spans="1:8">
      <c r="A257" t="s">
        <v>56</v>
      </c>
      <c r="B257" t="s">
        <v>57</v>
      </c>
      <c r="C257">
        <v>19</v>
      </c>
      <c r="D257" s="5">
        <v>0.41930000000000001</v>
      </c>
      <c r="E257" s="5">
        <v>0.3674</v>
      </c>
      <c r="F257" s="6">
        <v>85.72</v>
      </c>
      <c r="G257" s="6">
        <v>86.5</v>
      </c>
      <c r="H257" s="6">
        <v>47.55</v>
      </c>
    </row>
    <row r="258" spans="1:8">
      <c r="A258" t="s">
        <v>56</v>
      </c>
      <c r="B258" t="s">
        <v>57</v>
      </c>
      <c r="C258">
        <v>20</v>
      </c>
      <c r="D258" s="5">
        <v>0.4088</v>
      </c>
      <c r="E258" s="5">
        <v>0.36559999999999998</v>
      </c>
      <c r="F258" s="6">
        <v>86.21</v>
      </c>
      <c r="G258" s="6">
        <v>86.9</v>
      </c>
      <c r="H258" s="6">
        <v>47.55</v>
      </c>
    </row>
    <row r="259" spans="1:8">
      <c r="A259" t="s">
        <v>56</v>
      </c>
      <c r="B259" t="s">
        <v>57</v>
      </c>
      <c r="C259">
        <v>21</v>
      </c>
      <c r="D259" s="5">
        <v>0.58050000000000002</v>
      </c>
      <c r="E259" s="5">
        <v>0.50149999999999995</v>
      </c>
      <c r="F259" s="6">
        <v>80.319999999999993</v>
      </c>
      <c r="G259" s="6">
        <v>83.2</v>
      </c>
      <c r="H259" s="6">
        <v>47.55</v>
      </c>
    </row>
    <row r="260" spans="1:8">
      <c r="A260" t="s">
        <v>56</v>
      </c>
      <c r="B260" t="s">
        <v>57</v>
      </c>
      <c r="C260">
        <v>22</v>
      </c>
      <c r="D260" s="5">
        <v>0.55940000000000001</v>
      </c>
      <c r="E260" s="5">
        <v>0.48280000000000001</v>
      </c>
      <c r="F260" s="6">
        <v>81.3</v>
      </c>
      <c r="G260" s="6">
        <v>83.6</v>
      </c>
      <c r="H260" s="6">
        <v>47.55</v>
      </c>
    </row>
    <row r="261" spans="1:8">
      <c r="A261" t="s">
        <v>56</v>
      </c>
      <c r="B261" t="s">
        <v>57</v>
      </c>
      <c r="C261">
        <v>23</v>
      </c>
      <c r="D261" s="5">
        <v>0.5252</v>
      </c>
      <c r="E261" s="5">
        <v>0.43890000000000001</v>
      </c>
      <c r="F261" s="6">
        <v>82.38</v>
      </c>
      <c r="G261" s="6">
        <v>85.5</v>
      </c>
      <c r="H261" s="6">
        <v>47.55</v>
      </c>
    </row>
    <row r="262" spans="1:8">
      <c r="A262" t="s">
        <v>56</v>
      </c>
      <c r="B262" t="s">
        <v>57</v>
      </c>
      <c r="C262">
        <v>24</v>
      </c>
      <c r="D262" s="5">
        <v>0.49249999999999999</v>
      </c>
      <c r="E262" s="5">
        <v>0.43980000000000002</v>
      </c>
      <c r="F262" s="6">
        <v>83.36</v>
      </c>
      <c r="G262" s="6">
        <v>85.6</v>
      </c>
      <c r="H262" s="6">
        <v>47.55</v>
      </c>
    </row>
    <row r="263" spans="1:8">
      <c r="A263" t="s">
        <v>56</v>
      </c>
      <c r="B263" t="s">
        <v>57</v>
      </c>
      <c r="C263">
        <v>25</v>
      </c>
      <c r="D263" s="5">
        <v>0.45650000000000002</v>
      </c>
      <c r="E263" s="5">
        <v>0.38500000000000001</v>
      </c>
      <c r="F263" s="6">
        <v>84.54</v>
      </c>
      <c r="G263" s="6">
        <v>86.6</v>
      </c>
      <c r="H263" s="6">
        <v>47.55</v>
      </c>
    </row>
    <row r="264" spans="1:8">
      <c r="A264" t="s">
        <v>56</v>
      </c>
      <c r="B264" t="s">
        <v>57</v>
      </c>
      <c r="C264">
        <v>26</v>
      </c>
      <c r="D264" s="5">
        <v>0.42430000000000001</v>
      </c>
      <c r="E264" s="5">
        <v>0.36609999999999998</v>
      </c>
      <c r="F264" s="6">
        <v>85.53</v>
      </c>
      <c r="G264" s="6">
        <v>86.8</v>
      </c>
      <c r="H264" s="6">
        <v>47.55</v>
      </c>
    </row>
    <row r="265" spans="1:8">
      <c r="A265" t="s">
        <v>56</v>
      </c>
      <c r="B265" t="s">
        <v>57</v>
      </c>
      <c r="C265">
        <v>27</v>
      </c>
      <c r="D265" s="5">
        <v>0.38950000000000001</v>
      </c>
      <c r="E265" s="5">
        <v>0.35670000000000002</v>
      </c>
      <c r="F265" s="6">
        <v>86.78</v>
      </c>
      <c r="G265" s="6">
        <v>87.9</v>
      </c>
      <c r="H265" s="6">
        <v>47.55</v>
      </c>
    </row>
    <row r="266" spans="1:8">
      <c r="A266" t="s">
        <v>56</v>
      </c>
      <c r="B266" t="s">
        <v>57</v>
      </c>
      <c r="C266">
        <v>28</v>
      </c>
      <c r="D266" s="5">
        <v>0.36899999999999999</v>
      </c>
      <c r="E266" s="5">
        <v>0.35930000000000001</v>
      </c>
      <c r="F266" s="6">
        <v>87.52</v>
      </c>
      <c r="G266" s="6">
        <v>88</v>
      </c>
      <c r="H266" s="6">
        <v>47.55</v>
      </c>
    </row>
    <row r="267" spans="1:8">
      <c r="A267" t="s">
        <v>56</v>
      </c>
      <c r="B267" t="s">
        <v>57</v>
      </c>
      <c r="C267">
        <v>29</v>
      </c>
      <c r="D267" s="5">
        <v>0.34350000000000003</v>
      </c>
      <c r="E267" s="5">
        <v>0.34470000000000001</v>
      </c>
      <c r="F267" s="6">
        <v>88.26</v>
      </c>
      <c r="G267" s="6">
        <v>88.8</v>
      </c>
      <c r="H267" s="6">
        <v>47.55</v>
      </c>
    </row>
    <row r="268" spans="1:8">
      <c r="A268" t="s">
        <v>56</v>
      </c>
      <c r="B268" t="s">
        <v>57</v>
      </c>
      <c r="C268">
        <v>30</v>
      </c>
      <c r="D268" s="5">
        <v>0.33860000000000001</v>
      </c>
      <c r="E268" s="5">
        <v>0.34200000000000003</v>
      </c>
      <c r="F268" s="6">
        <v>88.49</v>
      </c>
      <c r="G268" s="6">
        <v>88.7</v>
      </c>
      <c r="H268" s="6">
        <v>47.55</v>
      </c>
    </row>
    <row r="269" spans="1:8">
      <c r="A269" t="s">
        <v>56</v>
      </c>
      <c r="B269" t="s">
        <v>57</v>
      </c>
      <c r="C269">
        <v>31</v>
      </c>
      <c r="D269" s="5">
        <v>0.48720000000000002</v>
      </c>
      <c r="E269" s="5">
        <v>0.44979999999999998</v>
      </c>
      <c r="F269" s="6">
        <v>83.56</v>
      </c>
      <c r="G269" s="6">
        <v>83.9</v>
      </c>
      <c r="H269" s="6">
        <v>47.55</v>
      </c>
    </row>
    <row r="270" spans="1:8">
      <c r="A270" t="s">
        <v>56</v>
      </c>
      <c r="B270" t="s">
        <v>57</v>
      </c>
      <c r="C270">
        <v>32</v>
      </c>
      <c r="D270" s="5">
        <v>0.47510000000000002</v>
      </c>
      <c r="E270" s="5">
        <v>0.4506</v>
      </c>
      <c r="F270" s="6">
        <v>84.06</v>
      </c>
      <c r="G270" s="6">
        <v>84.6</v>
      </c>
      <c r="H270" s="6">
        <v>47.55</v>
      </c>
    </row>
    <row r="271" spans="1:8">
      <c r="A271" t="s">
        <v>56</v>
      </c>
      <c r="B271" t="s">
        <v>57</v>
      </c>
      <c r="C271">
        <v>33</v>
      </c>
      <c r="D271" s="5">
        <v>0.45440000000000003</v>
      </c>
      <c r="E271" s="5">
        <v>0.40860000000000002</v>
      </c>
      <c r="F271" s="6">
        <v>84.51</v>
      </c>
      <c r="G271" s="6">
        <v>85.5</v>
      </c>
      <c r="H271" s="6">
        <v>47.55</v>
      </c>
    </row>
    <row r="272" spans="1:8">
      <c r="A272" t="s">
        <v>56</v>
      </c>
      <c r="B272" t="s">
        <v>57</v>
      </c>
      <c r="C272">
        <v>34</v>
      </c>
      <c r="D272" s="5">
        <v>0.42320000000000002</v>
      </c>
      <c r="E272" s="5">
        <v>0.38919999999999999</v>
      </c>
      <c r="F272" s="6">
        <v>85.64</v>
      </c>
      <c r="G272" s="6">
        <v>86.2</v>
      </c>
      <c r="H272" s="6">
        <v>47.55</v>
      </c>
    </row>
    <row r="273" spans="1:8">
      <c r="A273" t="s">
        <v>56</v>
      </c>
      <c r="B273" t="s">
        <v>57</v>
      </c>
      <c r="C273">
        <v>35</v>
      </c>
      <c r="D273" s="5">
        <v>0.39479999999999998</v>
      </c>
      <c r="E273" s="5">
        <v>0.36059999999999998</v>
      </c>
      <c r="F273" s="6">
        <v>86.71</v>
      </c>
      <c r="G273" s="6">
        <v>88</v>
      </c>
      <c r="H273" s="6">
        <v>47.55</v>
      </c>
    </row>
    <row r="274" spans="1:8">
      <c r="A274" t="s">
        <v>56</v>
      </c>
      <c r="B274" t="s">
        <v>57</v>
      </c>
      <c r="C274">
        <v>36</v>
      </c>
      <c r="D274" s="5">
        <v>0.36520000000000002</v>
      </c>
      <c r="E274" s="5">
        <v>0.34760000000000002</v>
      </c>
      <c r="F274" s="6">
        <v>87.65</v>
      </c>
      <c r="G274" s="6">
        <v>89.6</v>
      </c>
      <c r="H274" s="6">
        <v>47.55</v>
      </c>
    </row>
    <row r="275" spans="1:8">
      <c r="A275" t="s">
        <v>56</v>
      </c>
      <c r="B275" t="s">
        <v>57</v>
      </c>
      <c r="C275">
        <v>37</v>
      </c>
      <c r="D275" s="5">
        <v>0.3357</v>
      </c>
      <c r="E275" s="5">
        <v>0.33479999999999999</v>
      </c>
      <c r="F275" s="6">
        <v>88.57</v>
      </c>
      <c r="G275" s="6">
        <v>88.7</v>
      </c>
      <c r="H275" s="6">
        <v>47.55</v>
      </c>
    </row>
    <row r="276" spans="1:8">
      <c r="A276" t="s">
        <v>56</v>
      </c>
      <c r="B276" t="s">
        <v>57</v>
      </c>
      <c r="C276">
        <v>38</v>
      </c>
      <c r="D276" s="5">
        <v>0.3165</v>
      </c>
      <c r="E276" s="5">
        <v>0.33760000000000001</v>
      </c>
      <c r="F276" s="6">
        <v>89.11</v>
      </c>
      <c r="G276" s="6">
        <v>89.1</v>
      </c>
      <c r="H276" s="6">
        <v>47.55</v>
      </c>
    </row>
    <row r="277" spans="1:8">
      <c r="A277" t="s">
        <v>56</v>
      </c>
      <c r="B277" t="s">
        <v>57</v>
      </c>
      <c r="C277">
        <v>39</v>
      </c>
      <c r="D277" s="5">
        <v>0.30170000000000002</v>
      </c>
      <c r="E277" s="5">
        <v>0.33679999999999999</v>
      </c>
      <c r="F277" s="6">
        <v>89.69</v>
      </c>
      <c r="G277" s="6">
        <v>88.7</v>
      </c>
      <c r="H277" s="6">
        <v>47.55</v>
      </c>
    </row>
    <row r="278" spans="1:8">
      <c r="A278" t="s">
        <v>56</v>
      </c>
      <c r="B278" t="s">
        <v>57</v>
      </c>
      <c r="C278">
        <v>40</v>
      </c>
      <c r="D278" s="5">
        <v>0.29389999999999999</v>
      </c>
      <c r="E278" s="5">
        <v>0.33860000000000001</v>
      </c>
      <c r="F278" s="6">
        <v>89.93</v>
      </c>
      <c r="G278" s="6">
        <v>89.3</v>
      </c>
      <c r="H278" s="6">
        <v>47.55</v>
      </c>
    </row>
    <row r="279" spans="1:8">
      <c r="A279" t="s">
        <v>56</v>
      </c>
      <c r="B279" t="s">
        <v>57</v>
      </c>
      <c r="C279">
        <v>41</v>
      </c>
      <c r="D279" s="5">
        <v>0.42130000000000001</v>
      </c>
      <c r="E279" s="5">
        <v>0.40350000000000003</v>
      </c>
      <c r="F279" s="6">
        <v>85.74</v>
      </c>
      <c r="G279" s="6">
        <v>86.9</v>
      </c>
      <c r="H279" s="6">
        <v>47.55</v>
      </c>
    </row>
    <row r="280" spans="1:8">
      <c r="A280" t="s">
        <v>56</v>
      </c>
      <c r="B280" t="s">
        <v>57</v>
      </c>
      <c r="C280">
        <v>42</v>
      </c>
      <c r="D280" s="5">
        <v>0.42320000000000002</v>
      </c>
      <c r="E280" s="5">
        <v>0.35749999999999998</v>
      </c>
      <c r="F280" s="6">
        <v>85.8</v>
      </c>
      <c r="G280" s="6">
        <v>86.6</v>
      </c>
      <c r="H280" s="6">
        <v>47.55</v>
      </c>
    </row>
    <row r="281" spans="1:8">
      <c r="A281" t="s">
        <v>56</v>
      </c>
      <c r="B281" t="s">
        <v>57</v>
      </c>
      <c r="C281">
        <v>43</v>
      </c>
      <c r="D281" s="5">
        <v>0.40100000000000002</v>
      </c>
      <c r="E281" s="5">
        <v>0.4254</v>
      </c>
      <c r="F281" s="6">
        <v>86.4</v>
      </c>
      <c r="G281" s="6">
        <v>86.6</v>
      </c>
      <c r="H281" s="6">
        <v>47.55</v>
      </c>
    </row>
    <row r="282" spans="1:8">
      <c r="A282" t="s">
        <v>56</v>
      </c>
      <c r="B282" t="s">
        <v>57</v>
      </c>
      <c r="C282">
        <v>44</v>
      </c>
      <c r="D282" s="5">
        <v>0.37990000000000002</v>
      </c>
      <c r="E282" s="5">
        <v>0.39810000000000001</v>
      </c>
      <c r="F282" s="6">
        <v>86.94</v>
      </c>
      <c r="G282" s="6">
        <v>86.5</v>
      </c>
      <c r="H282" s="6">
        <v>47.55</v>
      </c>
    </row>
    <row r="283" spans="1:8">
      <c r="A283" t="s">
        <v>56</v>
      </c>
      <c r="B283" t="s">
        <v>57</v>
      </c>
      <c r="C283">
        <v>45</v>
      </c>
      <c r="D283" s="5">
        <v>0.35</v>
      </c>
      <c r="E283" s="5">
        <v>0.37409999999999999</v>
      </c>
      <c r="F283" s="6">
        <v>88.19</v>
      </c>
      <c r="G283" s="6">
        <v>87.6</v>
      </c>
      <c r="H283" s="6">
        <v>47.55</v>
      </c>
    </row>
    <row r="284" spans="1:8">
      <c r="A284" t="s">
        <v>56</v>
      </c>
      <c r="B284" t="s">
        <v>57</v>
      </c>
      <c r="C284">
        <v>46</v>
      </c>
      <c r="D284" s="5">
        <v>0.31950000000000001</v>
      </c>
      <c r="E284" s="5">
        <v>0.32269999999999999</v>
      </c>
      <c r="F284" s="6">
        <v>89.08</v>
      </c>
      <c r="G284" s="6">
        <v>89</v>
      </c>
      <c r="H284" s="6">
        <v>47.55</v>
      </c>
    </row>
    <row r="285" spans="1:8">
      <c r="A285" t="s">
        <v>56</v>
      </c>
      <c r="B285" t="s">
        <v>57</v>
      </c>
      <c r="C285">
        <v>47</v>
      </c>
      <c r="D285" s="5">
        <v>0.30020000000000002</v>
      </c>
      <c r="E285" s="5">
        <v>0.32619999999999999</v>
      </c>
      <c r="F285" s="6">
        <v>89.65</v>
      </c>
      <c r="G285" s="6">
        <v>90.2</v>
      </c>
      <c r="H285" s="6">
        <v>47.55</v>
      </c>
    </row>
    <row r="286" spans="1:8">
      <c r="A286" t="s">
        <v>56</v>
      </c>
      <c r="B286" t="s">
        <v>57</v>
      </c>
      <c r="C286">
        <v>48</v>
      </c>
      <c r="D286" s="5">
        <v>0.27710000000000001</v>
      </c>
      <c r="E286" s="5">
        <v>0.30409999999999998</v>
      </c>
      <c r="F286" s="6">
        <v>90.42</v>
      </c>
      <c r="G286" s="6">
        <v>90.4</v>
      </c>
      <c r="H286" s="6">
        <v>47.55</v>
      </c>
    </row>
    <row r="287" spans="1:8">
      <c r="A287" t="s">
        <v>56</v>
      </c>
      <c r="B287" t="s">
        <v>57</v>
      </c>
      <c r="C287">
        <v>49</v>
      </c>
      <c r="D287" s="5">
        <v>0.26469999999999999</v>
      </c>
      <c r="E287" s="5">
        <v>0.30830000000000002</v>
      </c>
      <c r="F287" s="6">
        <v>90.93</v>
      </c>
      <c r="G287" s="6">
        <v>89.9</v>
      </c>
      <c r="H287" s="6">
        <v>47.55</v>
      </c>
    </row>
    <row r="288" spans="1:8">
      <c r="A288" t="s">
        <v>56</v>
      </c>
      <c r="B288" t="s">
        <v>57</v>
      </c>
      <c r="C288">
        <v>50</v>
      </c>
      <c r="D288" s="5">
        <v>0.26029999999999998</v>
      </c>
      <c r="E288" s="5">
        <v>0.30530000000000002</v>
      </c>
      <c r="F288" s="6">
        <v>91.03</v>
      </c>
      <c r="G288" s="6">
        <v>90.1</v>
      </c>
      <c r="H288" s="6">
        <v>47.55</v>
      </c>
    </row>
    <row r="289" spans="1:8">
      <c r="A289" t="s">
        <v>59</v>
      </c>
      <c r="B289" t="s">
        <v>60</v>
      </c>
      <c r="C289">
        <v>1</v>
      </c>
      <c r="D289" s="5">
        <v>1.605</v>
      </c>
      <c r="E289" s="5">
        <v>1.2177</v>
      </c>
      <c r="F289" s="6">
        <v>40.99</v>
      </c>
      <c r="G289" s="6">
        <v>55.8</v>
      </c>
      <c r="H289" s="6">
        <v>36.450000000000003</v>
      </c>
    </row>
    <row r="290" spans="1:8">
      <c r="A290" t="s">
        <v>59</v>
      </c>
      <c r="B290" t="s">
        <v>60</v>
      </c>
      <c r="C290">
        <v>2</v>
      </c>
      <c r="D290" s="5">
        <v>1.2509999999999999</v>
      </c>
      <c r="E290" s="5">
        <v>1.0597000000000001</v>
      </c>
      <c r="F290" s="6">
        <v>55.42</v>
      </c>
      <c r="G290" s="6">
        <v>61.6</v>
      </c>
      <c r="H290" s="6">
        <v>36.450000000000003</v>
      </c>
    </row>
    <row r="291" spans="1:8">
      <c r="A291" t="s">
        <v>59</v>
      </c>
      <c r="B291" t="s">
        <v>60</v>
      </c>
      <c r="C291">
        <v>3</v>
      </c>
      <c r="D291" s="5">
        <v>1.0911</v>
      </c>
      <c r="E291" s="5">
        <v>0.88560000000000005</v>
      </c>
      <c r="F291" s="6">
        <v>61.74</v>
      </c>
      <c r="G291" s="6">
        <v>68.3</v>
      </c>
      <c r="H291" s="6">
        <v>36.450000000000003</v>
      </c>
    </row>
    <row r="292" spans="1:8">
      <c r="A292" t="s">
        <v>59</v>
      </c>
      <c r="B292" t="s">
        <v>60</v>
      </c>
      <c r="C292">
        <v>4</v>
      </c>
      <c r="D292" s="5">
        <v>0.98060000000000003</v>
      </c>
      <c r="E292" s="5">
        <v>0.81130000000000002</v>
      </c>
      <c r="F292" s="6">
        <v>65.790000000000006</v>
      </c>
      <c r="G292" s="6">
        <v>72</v>
      </c>
      <c r="H292" s="6">
        <v>36.450000000000003</v>
      </c>
    </row>
    <row r="293" spans="1:8">
      <c r="A293" t="s">
        <v>59</v>
      </c>
      <c r="B293" t="s">
        <v>60</v>
      </c>
      <c r="C293">
        <v>5</v>
      </c>
      <c r="D293" s="5">
        <v>0.90039999999999998</v>
      </c>
      <c r="E293" s="5">
        <v>0.746</v>
      </c>
      <c r="F293" s="6">
        <v>68.790000000000006</v>
      </c>
      <c r="G293" s="6">
        <v>75.099999999999994</v>
      </c>
      <c r="H293" s="6">
        <v>36.450000000000003</v>
      </c>
    </row>
    <row r="294" spans="1:8">
      <c r="A294" t="s">
        <v>59</v>
      </c>
      <c r="B294" t="s">
        <v>60</v>
      </c>
      <c r="C294">
        <v>6</v>
      </c>
      <c r="D294" s="5">
        <v>0.83240000000000003</v>
      </c>
      <c r="E294" s="5">
        <v>0.67569999999999997</v>
      </c>
      <c r="F294" s="6">
        <v>71.510000000000005</v>
      </c>
      <c r="G294" s="6">
        <v>77.099999999999994</v>
      </c>
      <c r="H294" s="6">
        <v>36.450000000000003</v>
      </c>
    </row>
    <row r="295" spans="1:8">
      <c r="A295" t="s">
        <v>59</v>
      </c>
      <c r="B295" t="s">
        <v>60</v>
      </c>
      <c r="C295">
        <v>7</v>
      </c>
      <c r="D295" s="5">
        <v>0.7853</v>
      </c>
      <c r="E295" s="5">
        <v>0.6411</v>
      </c>
      <c r="F295" s="6">
        <v>73.010000000000005</v>
      </c>
      <c r="G295" s="6">
        <v>77.400000000000006</v>
      </c>
      <c r="H295" s="6">
        <v>36.450000000000003</v>
      </c>
    </row>
    <row r="296" spans="1:8">
      <c r="A296" t="s">
        <v>59</v>
      </c>
      <c r="B296" t="s">
        <v>60</v>
      </c>
      <c r="C296">
        <v>8</v>
      </c>
      <c r="D296" s="5">
        <v>0.74139999999999995</v>
      </c>
      <c r="E296" s="5">
        <v>0.59260000000000002</v>
      </c>
      <c r="F296" s="6">
        <v>74.540000000000006</v>
      </c>
      <c r="G296" s="6">
        <v>78.7</v>
      </c>
      <c r="H296" s="6">
        <v>36.450000000000003</v>
      </c>
    </row>
    <row r="297" spans="1:8">
      <c r="A297" t="s">
        <v>59</v>
      </c>
      <c r="B297" t="s">
        <v>60</v>
      </c>
      <c r="C297">
        <v>9</v>
      </c>
      <c r="D297" s="5">
        <v>0.71409999999999996</v>
      </c>
      <c r="E297" s="5">
        <v>0.60160000000000002</v>
      </c>
      <c r="F297" s="6">
        <v>75.569999999999993</v>
      </c>
      <c r="G297" s="6">
        <v>79.3</v>
      </c>
      <c r="H297" s="6">
        <v>36.450000000000003</v>
      </c>
    </row>
    <row r="298" spans="1:8">
      <c r="A298" t="s">
        <v>59</v>
      </c>
      <c r="B298" t="s">
        <v>60</v>
      </c>
      <c r="C298">
        <v>10</v>
      </c>
      <c r="D298" s="5">
        <v>0.68140000000000001</v>
      </c>
      <c r="E298" s="5">
        <v>0.5847</v>
      </c>
      <c r="F298" s="6">
        <v>76.760000000000005</v>
      </c>
      <c r="G298" s="6">
        <v>79.8</v>
      </c>
      <c r="H298" s="6">
        <v>36.450000000000003</v>
      </c>
    </row>
    <row r="299" spans="1:8">
      <c r="A299" t="s">
        <v>59</v>
      </c>
      <c r="B299" t="s">
        <v>60</v>
      </c>
      <c r="C299">
        <v>11</v>
      </c>
      <c r="D299" s="5">
        <v>0.6603</v>
      </c>
      <c r="E299" s="5">
        <v>0.55249999999999999</v>
      </c>
      <c r="F299" s="6">
        <v>77.66</v>
      </c>
      <c r="G299" s="6">
        <v>80.099999999999994</v>
      </c>
      <c r="H299" s="6">
        <v>36.450000000000003</v>
      </c>
    </row>
    <row r="300" spans="1:8">
      <c r="A300" t="s">
        <v>59</v>
      </c>
      <c r="B300" t="s">
        <v>60</v>
      </c>
      <c r="C300">
        <v>12</v>
      </c>
      <c r="D300" s="5">
        <v>0.63260000000000005</v>
      </c>
      <c r="E300" s="5">
        <v>0.5171</v>
      </c>
      <c r="F300" s="6">
        <v>78.33</v>
      </c>
      <c r="G300" s="6">
        <v>80.7</v>
      </c>
      <c r="H300" s="6">
        <v>36.450000000000003</v>
      </c>
    </row>
    <row r="301" spans="1:8">
      <c r="A301" t="s">
        <v>59</v>
      </c>
      <c r="B301" t="s">
        <v>60</v>
      </c>
      <c r="C301">
        <v>13</v>
      </c>
      <c r="D301" s="5">
        <v>0.62109999999999999</v>
      </c>
      <c r="E301" s="5">
        <v>0.52090000000000003</v>
      </c>
      <c r="F301" s="6">
        <v>79</v>
      </c>
      <c r="G301" s="6">
        <v>82.1</v>
      </c>
      <c r="H301" s="6">
        <v>36.450000000000003</v>
      </c>
    </row>
    <row r="302" spans="1:8">
      <c r="A302" t="s">
        <v>59</v>
      </c>
      <c r="B302" t="s">
        <v>60</v>
      </c>
      <c r="C302">
        <v>14</v>
      </c>
      <c r="D302" s="5">
        <v>0.59789999999999999</v>
      </c>
      <c r="E302" s="5">
        <v>0.54979999999999996</v>
      </c>
      <c r="F302" s="6">
        <v>79.709999999999994</v>
      </c>
      <c r="G302" s="6">
        <v>81.599999999999994</v>
      </c>
      <c r="H302" s="6">
        <v>36.450000000000003</v>
      </c>
    </row>
    <row r="303" spans="1:8">
      <c r="A303" t="s">
        <v>59</v>
      </c>
      <c r="B303" t="s">
        <v>60</v>
      </c>
      <c r="C303">
        <v>15</v>
      </c>
      <c r="D303" s="5">
        <v>0.5806</v>
      </c>
      <c r="E303" s="5">
        <v>0.5151</v>
      </c>
      <c r="F303" s="6">
        <v>80.34</v>
      </c>
      <c r="G303" s="6">
        <v>82.6</v>
      </c>
      <c r="H303" s="6">
        <v>36.450000000000003</v>
      </c>
    </row>
    <row r="304" spans="1:8">
      <c r="A304" t="s">
        <v>59</v>
      </c>
      <c r="B304" t="s">
        <v>60</v>
      </c>
      <c r="C304">
        <v>16</v>
      </c>
      <c r="D304" s="5">
        <v>0.57440000000000002</v>
      </c>
      <c r="E304" s="5">
        <v>0.52190000000000003</v>
      </c>
      <c r="F304" s="6">
        <v>80.64</v>
      </c>
      <c r="G304" s="6">
        <v>82</v>
      </c>
      <c r="H304" s="6">
        <v>36.450000000000003</v>
      </c>
    </row>
    <row r="305" spans="1:8">
      <c r="A305" t="s">
        <v>59</v>
      </c>
      <c r="B305" t="s">
        <v>60</v>
      </c>
      <c r="C305">
        <v>17</v>
      </c>
      <c r="D305" s="5">
        <v>0.55230000000000001</v>
      </c>
      <c r="E305" s="5">
        <v>0.4718</v>
      </c>
      <c r="F305" s="6">
        <v>81.03</v>
      </c>
      <c r="G305" s="6">
        <v>83.5</v>
      </c>
      <c r="H305" s="6">
        <v>36.450000000000003</v>
      </c>
    </row>
    <row r="306" spans="1:8">
      <c r="A306" t="s">
        <v>59</v>
      </c>
      <c r="B306" t="s">
        <v>60</v>
      </c>
      <c r="C306">
        <v>18</v>
      </c>
      <c r="D306" s="5">
        <v>0.53939999999999999</v>
      </c>
      <c r="E306" s="5">
        <v>0.45989999999999998</v>
      </c>
      <c r="F306" s="6">
        <v>81.72</v>
      </c>
      <c r="G306" s="6">
        <v>83.3</v>
      </c>
      <c r="H306" s="6">
        <v>36.450000000000003</v>
      </c>
    </row>
    <row r="307" spans="1:8">
      <c r="A307" t="s">
        <v>59</v>
      </c>
      <c r="B307" t="s">
        <v>60</v>
      </c>
      <c r="C307">
        <v>19</v>
      </c>
      <c r="D307" s="5">
        <v>0.5232</v>
      </c>
      <c r="E307" s="5">
        <v>0.45400000000000001</v>
      </c>
      <c r="F307" s="6">
        <v>82.22</v>
      </c>
      <c r="G307" s="6">
        <v>85</v>
      </c>
      <c r="H307" s="6">
        <v>36.450000000000003</v>
      </c>
    </row>
    <row r="308" spans="1:8">
      <c r="A308" t="s">
        <v>59</v>
      </c>
      <c r="B308" t="s">
        <v>60</v>
      </c>
      <c r="C308">
        <v>20</v>
      </c>
      <c r="D308" s="5">
        <v>0.51519999999999999</v>
      </c>
      <c r="E308" s="5">
        <v>0.44140000000000001</v>
      </c>
      <c r="F308" s="6">
        <v>82.51</v>
      </c>
      <c r="G308" s="6">
        <v>85.2</v>
      </c>
      <c r="H308" s="6">
        <v>36.450000000000003</v>
      </c>
    </row>
    <row r="309" spans="1:8">
      <c r="A309" t="s">
        <v>59</v>
      </c>
      <c r="B309" t="s">
        <v>60</v>
      </c>
      <c r="C309">
        <v>21</v>
      </c>
      <c r="D309" s="5">
        <v>0.50729999999999997</v>
      </c>
      <c r="E309" s="5">
        <v>0.44280000000000003</v>
      </c>
      <c r="F309" s="6">
        <v>82.56</v>
      </c>
      <c r="G309" s="6">
        <v>84.5</v>
      </c>
      <c r="H309" s="6">
        <v>36.450000000000003</v>
      </c>
    </row>
    <row r="310" spans="1:8">
      <c r="A310" t="s">
        <v>59</v>
      </c>
      <c r="B310" t="s">
        <v>60</v>
      </c>
      <c r="C310">
        <v>22</v>
      </c>
      <c r="D310" s="5">
        <v>0.4909</v>
      </c>
      <c r="E310" s="5">
        <v>0.44479999999999997</v>
      </c>
      <c r="F310" s="6">
        <v>83.24</v>
      </c>
      <c r="G310" s="6">
        <v>84.5</v>
      </c>
      <c r="H310" s="6">
        <v>36.450000000000003</v>
      </c>
    </row>
    <row r="311" spans="1:8">
      <c r="A311" t="s">
        <v>59</v>
      </c>
      <c r="B311" t="s">
        <v>60</v>
      </c>
      <c r="C311">
        <v>23</v>
      </c>
      <c r="D311" s="5">
        <v>0.49149999999999999</v>
      </c>
      <c r="E311" s="5">
        <v>0.42270000000000002</v>
      </c>
      <c r="F311" s="6">
        <v>83.22</v>
      </c>
      <c r="G311" s="6">
        <v>85.3</v>
      </c>
      <c r="H311" s="6">
        <v>36.450000000000003</v>
      </c>
    </row>
    <row r="312" spans="1:8">
      <c r="A312" t="s">
        <v>59</v>
      </c>
      <c r="B312" t="s">
        <v>60</v>
      </c>
      <c r="C312">
        <v>24</v>
      </c>
      <c r="D312" s="5">
        <v>0.47560000000000002</v>
      </c>
      <c r="E312" s="5">
        <v>0.441</v>
      </c>
      <c r="F312" s="6">
        <v>83.8</v>
      </c>
      <c r="G312" s="6">
        <v>85.8</v>
      </c>
      <c r="H312" s="6">
        <v>36.450000000000003</v>
      </c>
    </row>
    <row r="313" spans="1:8">
      <c r="A313" t="s">
        <v>59</v>
      </c>
      <c r="B313" t="s">
        <v>60</v>
      </c>
      <c r="C313">
        <v>25</v>
      </c>
      <c r="D313" s="5">
        <v>0.47060000000000002</v>
      </c>
      <c r="E313" s="5">
        <v>0.42359999999999998</v>
      </c>
      <c r="F313" s="6">
        <v>84</v>
      </c>
      <c r="G313" s="6">
        <v>86.3</v>
      </c>
      <c r="H313" s="6">
        <v>36.450000000000003</v>
      </c>
    </row>
    <row r="314" spans="1:8">
      <c r="A314" t="s">
        <v>59</v>
      </c>
      <c r="B314" t="s">
        <v>60</v>
      </c>
      <c r="C314">
        <v>26</v>
      </c>
      <c r="D314" s="5">
        <v>0.46089999999999998</v>
      </c>
      <c r="E314" s="5">
        <v>0.43580000000000002</v>
      </c>
      <c r="F314" s="6">
        <v>84.22</v>
      </c>
      <c r="G314" s="6">
        <v>86.1</v>
      </c>
      <c r="H314" s="6">
        <v>36.450000000000003</v>
      </c>
    </row>
    <row r="315" spans="1:8">
      <c r="A315" t="s">
        <v>59</v>
      </c>
      <c r="B315" t="s">
        <v>60</v>
      </c>
      <c r="C315">
        <v>27</v>
      </c>
      <c r="D315" s="5">
        <v>0.45429999999999998</v>
      </c>
      <c r="E315" s="5">
        <v>0.41909999999999997</v>
      </c>
      <c r="F315" s="6">
        <v>84.65</v>
      </c>
      <c r="G315" s="6">
        <v>85.8</v>
      </c>
      <c r="H315" s="6">
        <v>36.450000000000003</v>
      </c>
    </row>
    <row r="316" spans="1:8">
      <c r="A316" t="s">
        <v>59</v>
      </c>
      <c r="B316" t="s">
        <v>60</v>
      </c>
      <c r="C316">
        <v>28</v>
      </c>
      <c r="D316" s="5">
        <v>0.44679999999999997</v>
      </c>
      <c r="E316" s="5">
        <v>0.43020000000000003</v>
      </c>
      <c r="F316" s="6">
        <v>84.76</v>
      </c>
      <c r="G316" s="6">
        <v>85.5</v>
      </c>
      <c r="H316" s="6">
        <v>36.450000000000003</v>
      </c>
    </row>
    <row r="317" spans="1:8">
      <c r="A317" t="s">
        <v>59</v>
      </c>
      <c r="B317" t="s">
        <v>60</v>
      </c>
      <c r="C317">
        <v>29</v>
      </c>
      <c r="D317" s="5">
        <v>0.43959999999999999</v>
      </c>
      <c r="E317" s="5">
        <v>0.39889999999999998</v>
      </c>
      <c r="F317" s="6">
        <v>85.1</v>
      </c>
      <c r="G317" s="6">
        <v>87.2</v>
      </c>
      <c r="H317" s="6">
        <v>36.450000000000003</v>
      </c>
    </row>
    <row r="318" spans="1:8">
      <c r="A318" t="s">
        <v>59</v>
      </c>
      <c r="B318" t="s">
        <v>60</v>
      </c>
      <c r="C318">
        <v>30</v>
      </c>
      <c r="D318" s="5">
        <v>0.42880000000000001</v>
      </c>
      <c r="E318" s="5">
        <v>0.42580000000000001</v>
      </c>
      <c r="F318" s="6">
        <v>85.4</v>
      </c>
      <c r="G318" s="6">
        <v>86.1</v>
      </c>
      <c r="H318" s="6">
        <v>36.450000000000003</v>
      </c>
    </row>
    <row r="319" spans="1:8">
      <c r="A319" t="s">
        <v>59</v>
      </c>
      <c r="B319" t="s">
        <v>60</v>
      </c>
      <c r="C319">
        <v>31</v>
      </c>
      <c r="D319" s="5">
        <v>0.42480000000000001</v>
      </c>
      <c r="E319" s="5">
        <v>0.41489999999999999</v>
      </c>
      <c r="F319" s="6">
        <v>85.5</v>
      </c>
      <c r="G319" s="6">
        <v>85.2</v>
      </c>
      <c r="H319" s="6">
        <v>36.450000000000003</v>
      </c>
    </row>
    <row r="320" spans="1:8">
      <c r="A320" t="s">
        <v>59</v>
      </c>
      <c r="B320" t="s">
        <v>60</v>
      </c>
      <c r="C320">
        <v>32</v>
      </c>
      <c r="D320" s="5">
        <v>0.41889999999999999</v>
      </c>
      <c r="E320" s="5">
        <v>0.43340000000000001</v>
      </c>
      <c r="F320" s="6">
        <v>85.77</v>
      </c>
      <c r="G320" s="6">
        <v>85.6</v>
      </c>
      <c r="H320" s="6">
        <v>36.450000000000003</v>
      </c>
    </row>
    <row r="321" spans="1:8">
      <c r="A321" t="s">
        <v>59</v>
      </c>
      <c r="B321" t="s">
        <v>60</v>
      </c>
      <c r="C321">
        <v>33</v>
      </c>
      <c r="D321" s="5">
        <v>0.41049999999999998</v>
      </c>
      <c r="E321" s="5">
        <v>0.4294</v>
      </c>
      <c r="F321" s="6">
        <v>85.98</v>
      </c>
      <c r="G321" s="6">
        <v>86.2</v>
      </c>
      <c r="H321" s="6">
        <v>36.450000000000003</v>
      </c>
    </row>
    <row r="322" spans="1:8">
      <c r="A322" t="s">
        <v>59</v>
      </c>
      <c r="B322" t="s">
        <v>60</v>
      </c>
      <c r="C322">
        <v>34</v>
      </c>
      <c r="D322" s="5">
        <v>0.41060000000000002</v>
      </c>
      <c r="E322" s="5">
        <v>0.40679999999999999</v>
      </c>
      <c r="F322" s="6">
        <v>86.04</v>
      </c>
      <c r="G322" s="6">
        <v>86.5</v>
      </c>
      <c r="H322" s="6">
        <v>36.450000000000003</v>
      </c>
    </row>
    <row r="323" spans="1:8">
      <c r="A323" t="s">
        <v>59</v>
      </c>
      <c r="B323" t="s">
        <v>60</v>
      </c>
      <c r="C323">
        <v>35</v>
      </c>
      <c r="D323" s="5">
        <v>0.39700000000000002</v>
      </c>
      <c r="E323" s="5">
        <v>0.4224</v>
      </c>
      <c r="F323" s="6">
        <v>86.48</v>
      </c>
      <c r="G323" s="6">
        <v>86.6</v>
      </c>
      <c r="H323" s="6">
        <v>36.450000000000003</v>
      </c>
    </row>
    <row r="324" spans="1:8">
      <c r="A324" t="s">
        <v>59</v>
      </c>
      <c r="B324" t="s">
        <v>60</v>
      </c>
      <c r="C324">
        <v>36</v>
      </c>
      <c r="D324" s="5">
        <v>0.39179999999999998</v>
      </c>
      <c r="E324" s="5">
        <v>0.42749999999999999</v>
      </c>
      <c r="F324" s="6">
        <v>86.71</v>
      </c>
      <c r="G324" s="6">
        <v>86.4</v>
      </c>
      <c r="H324" s="6">
        <v>36.450000000000003</v>
      </c>
    </row>
    <row r="325" spans="1:8">
      <c r="A325" t="s">
        <v>59</v>
      </c>
      <c r="B325" t="s">
        <v>60</v>
      </c>
      <c r="C325">
        <v>37</v>
      </c>
      <c r="D325" s="5">
        <v>0.38990000000000002</v>
      </c>
      <c r="E325" s="5">
        <v>0.4168</v>
      </c>
      <c r="F325" s="6">
        <v>86.56</v>
      </c>
      <c r="G325" s="6">
        <v>85.6</v>
      </c>
      <c r="H325" s="6">
        <v>36.450000000000003</v>
      </c>
    </row>
    <row r="326" spans="1:8">
      <c r="A326" t="s">
        <v>59</v>
      </c>
      <c r="B326" t="s">
        <v>60</v>
      </c>
      <c r="C326">
        <v>38</v>
      </c>
      <c r="D326" s="5">
        <v>0.38329999999999997</v>
      </c>
      <c r="E326" s="5">
        <v>0.47160000000000002</v>
      </c>
      <c r="F326" s="6">
        <v>86.82</v>
      </c>
      <c r="G326" s="6">
        <v>85</v>
      </c>
      <c r="H326" s="6">
        <v>36.450000000000003</v>
      </c>
    </row>
    <row r="327" spans="1:8">
      <c r="A327" t="s">
        <v>59</v>
      </c>
      <c r="B327" t="s">
        <v>60</v>
      </c>
      <c r="C327">
        <v>39</v>
      </c>
      <c r="D327" s="5">
        <v>0.38</v>
      </c>
      <c r="E327" s="5">
        <v>0.39529999999999998</v>
      </c>
      <c r="F327" s="6">
        <v>87.07</v>
      </c>
      <c r="G327" s="6">
        <v>87.6</v>
      </c>
      <c r="H327" s="6">
        <v>36.450000000000003</v>
      </c>
    </row>
    <row r="328" spans="1:8">
      <c r="A328" t="s">
        <v>59</v>
      </c>
      <c r="B328" t="s">
        <v>60</v>
      </c>
      <c r="C328">
        <v>40</v>
      </c>
      <c r="D328" s="5">
        <v>0.37280000000000002</v>
      </c>
      <c r="E328" s="5">
        <v>0.36320000000000002</v>
      </c>
      <c r="F328" s="6">
        <v>87.29</v>
      </c>
      <c r="G328" s="6">
        <v>87.9</v>
      </c>
      <c r="H328" s="6">
        <v>36.450000000000003</v>
      </c>
    </row>
    <row r="329" spans="1:8">
      <c r="A329" t="s">
        <v>59</v>
      </c>
      <c r="B329" t="s">
        <v>60</v>
      </c>
      <c r="C329">
        <v>41</v>
      </c>
      <c r="D329" s="5">
        <v>0.3664</v>
      </c>
      <c r="E329" s="5">
        <v>0.3745</v>
      </c>
      <c r="F329" s="6">
        <v>87.59</v>
      </c>
      <c r="G329" s="6">
        <v>87.7</v>
      </c>
      <c r="H329" s="6">
        <v>36.450000000000003</v>
      </c>
    </row>
    <row r="330" spans="1:8">
      <c r="A330" t="s">
        <v>59</v>
      </c>
      <c r="B330" t="s">
        <v>60</v>
      </c>
      <c r="C330">
        <v>42</v>
      </c>
      <c r="D330" s="5">
        <v>0.36780000000000002</v>
      </c>
      <c r="E330" s="5">
        <v>0.38740000000000002</v>
      </c>
      <c r="F330" s="6">
        <v>87.41</v>
      </c>
      <c r="G330" s="6">
        <v>87</v>
      </c>
      <c r="H330" s="6">
        <v>36.450000000000003</v>
      </c>
    </row>
    <row r="331" spans="1:8">
      <c r="A331" t="s">
        <v>59</v>
      </c>
      <c r="B331" t="s">
        <v>60</v>
      </c>
      <c r="C331">
        <v>43</v>
      </c>
      <c r="D331" s="5">
        <v>0.36559999999999998</v>
      </c>
      <c r="E331" s="5">
        <v>0.4128</v>
      </c>
      <c r="F331" s="6">
        <v>87.62</v>
      </c>
      <c r="G331" s="6">
        <v>87.1</v>
      </c>
      <c r="H331" s="6">
        <v>36.450000000000003</v>
      </c>
    </row>
    <row r="332" spans="1:8">
      <c r="A332" t="s">
        <v>59</v>
      </c>
      <c r="B332" t="s">
        <v>60</v>
      </c>
      <c r="C332">
        <v>44</v>
      </c>
      <c r="D332" s="5">
        <v>0.35599999999999998</v>
      </c>
      <c r="E332" s="5">
        <v>0.39</v>
      </c>
      <c r="F332" s="6">
        <v>87.77</v>
      </c>
      <c r="G332" s="6">
        <v>87.4</v>
      </c>
      <c r="H332" s="6">
        <v>36.450000000000003</v>
      </c>
    </row>
    <row r="333" spans="1:8">
      <c r="A333" t="s">
        <v>59</v>
      </c>
      <c r="B333" t="s">
        <v>60</v>
      </c>
      <c r="C333">
        <v>45</v>
      </c>
      <c r="D333" s="5">
        <v>0.3493</v>
      </c>
      <c r="E333" s="5">
        <v>0.34460000000000002</v>
      </c>
      <c r="F333" s="6">
        <v>88.11</v>
      </c>
      <c r="G333" s="6">
        <v>88.8</v>
      </c>
      <c r="H333" s="6">
        <v>36.450000000000003</v>
      </c>
    </row>
    <row r="334" spans="1:8">
      <c r="A334" t="s">
        <v>59</v>
      </c>
      <c r="B334" t="s">
        <v>60</v>
      </c>
      <c r="C334">
        <v>46</v>
      </c>
      <c r="D334" s="5">
        <v>0.34720000000000001</v>
      </c>
      <c r="E334" s="5">
        <v>0.37030000000000002</v>
      </c>
      <c r="F334" s="6">
        <v>88.06</v>
      </c>
      <c r="G334" s="6">
        <v>87.6</v>
      </c>
      <c r="H334" s="6">
        <v>36.450000000000003</v>
      </c>
    </row>
    <row r="335" spans="1:8">
      <c r="A335" t="s">
        <v>59</v>
      </c>
      <c r="B335" t="s">
        <v>60</v>
      </c>
      <c r="C335">
        <v>47</v>
      </c>
      <c r="D335" s="5">
        <v>0.33829999999999999</v>
      </c>
      <c r="E335" s="5">
        <v>0.39589999999999997</v>
      </c>
      <c r="F335" s="6">
        <v>88.38</v>
      </c>
      <c r="G335" s="6">
        <v>88.3</v>
      </c>
      <c r="H335" s="6">
        <v>36.450000000000003</v>
      </c>
    </row>
    <row r="336" spans="1:8">
      <c r="A336" t="s">
        <v>59</v>
      </c>
      <c r="B336" t="s">
        <v>60</v>
      </c>
      <c r="C336">
        <v>48</v>
      </c>
      <c r="D336" s="5">
        <v>0.33929999999999999</v>
      </c>
      <c r="E336" s="5">
        <v>0.40060000000000001</v>
      </c>
      <c r="F336" s="6">
        <v>88.26</v>
      </c>
      <c r="G336" s="6">
        <v>87.4</v>
      </c>
      <c r="H336" s="6">
        <v>36.450000000000003</v>
      </c>
    </row>
    <row r="337" spans="1:8">
      <c r="A337" t="s">
        <v>59</v>
      </c>
      <c r="B337" t="s">
        <v>60</v>
      </c>
      <c r="C337">
        <v>49</v>
      </c>
      <c r="D337" s="5">
        <v>0.3407</v>
      </c>
      <c r="E337" s="5">
        <v>0.3705</v>
      </c>
      <c r="F337" s="6">
        <v>88.39</v>
      </c>
      <c r="G337" s="6">
        <v>88</v>
      </c>
      <c r="H337" s="6">
        <v>36.450000000000003</v>
      </c>
    </row>
    <row r="338" spans="1:8">
      <c r="A338" t="s">
        <v>59</v>
      </c>
      <c r="B338" t="s">
        <v>60</v>
      </c>
      <c r="C338">
        <v>50</v>
      </c>
      <c r="D338" s="5">
        <v>0.33139999999999997</v>
      </c>
      <c r="E338" s="5">
        <v>0.36220000000000002</v>
      </c>
      <c r="F338" s="6">
        <v>88.52</v>
      </c>
      <c r="G338" s="6">
        <v>88.5</v>
      </c>
      <c r="H338" s="6">
        <v>36.450000000000003</v>
      </c>
    </row>
    <row r="339" spans="1:8">
      <c r="A339" t="s">
        <v>62</v>
      </c>
      <c r="B339" t="s">
        <v>63</v>
      </c>
      <c r="C339">
        <v>1</v>
      </c>
      <c r="D339" s="5">
        <v>1.3781000000000001</v>
      </c>
      <c r="E339" s="5">
        <v>1.2716000000000001</v>
      </c>
      <c r="F339" s="6">
        <v>49.36</v>
      </c>
      <c r="G339" s="6">
        <v>55.7</v>
      </c>
      <c r="H339" s="6">
        <v>22.9</v>
      </c>
    </row>
    <row r="340" spans="1:8">
      <c r="A340" t="s">
        <v>62</v>
      </c>
      <c r="B340" t="s">
        <v>63</v>
      </c>
      <c r="C340">
        <v>2</v>
      </c>
      <c r="D340" s="5">
        <v>1.0206</v>
      </c>
      <c r="E340" s="5">
        <v>1.0296000000000001</v>
      </c>
      <c r="F340" s="6">
        <v>63.48</v>
      </c>
      <c r="G340" s="6">
        <v>65</v>
      </c>
      <c r="H340" s="6">
        <v>22.9</v>
      </c>
    </row>
    <row r="341" spans="1:8">
      <c r="A341" t="s">
        <v>62</v>
      </c>
      <c r="B341" t="s">
        <v>63</v>
      </c>
      <c r="C341">
        <v>3</v>
      </c>
      <c r="D341" s="5">
        <v>0.871</v>
      </c>
      <c r="E341" s="5">
        <v>0.78349999999999997</v>
      </c>
      <c r="F341" s="6">
        <v>69.150000000000006</v>
      </c>
      <c r="G341" s="6">
        <v>74.3</v>
      </c>
      <c r="H341" s="6">
        <v>22.9</v>
      </c>
    </row>
    <row r="342" spans="1:8">
      <c r="A342" t="s">
        <v>62</v>
      </c>
      <c r="B342" t="s">
        <v>63</v>
      </c>
      <c r="C342">
        <v>4</v>
      </c>
      <c r="D342" s="5">
        <v>0.77239999999999998</v>
      </c>
      <c r="E342" s="5">
        <v>0.65720000000000001</v>
      </c>
      <c r="F342" s="6">
        <v>72.75</v>
      </c>
      <c r="G342" s="6">
        <v>76.400000000000006</v>
      </c>
      <c r="H342" s="6">
        <v>22.9</v>
      </c>
    </row>
    <row r="343" spans="1:8">
      <c r="A343" t="s">
        <v>62</v>
      </c>
      <c r="B343" t="s">
        <v>63</v>
      </c>
      <c r="C343">
        <v>5</v>
      </c>
      <c r="D343" s="5">
        <v>0.71660000000000001</v>
      </c>
      <c r="E343" s="5">
        <v>0.61270000000000002</v>
      </c>
      <c r="F343" s="6">
        <v>74.760000000000005</v>
      </c>
      <c r="G343" s="6">
        <v>80.5</v>
      </c>
      <c r="H343" s="6">
        <v>22.9</v>
      </c>
    </row>
    <row r="344" spans="1:8">
      <c r="A344" t="s">
        <v>62</v>
      </c>
      <c r="B344" t="s">
        <v>63</v>
      </c>
      <c r="C344">
        <v>6</v>
      </c>
      <c r="D344" s="5">
        <v>0.67030000000000001</v>
      </c>
      <c r="E344" s="5">
        <v>0.62180000000000002</v>
      </c>
      <c r="F344" s="6">
        <v>76.52</v>
      </c>
      <c r="G344" s="6">
        <v>78.7</v>
      </c>
      <c r="H344" s="6">
        <v>22.9</v>
      </c>
    </row>
    <row r="345" spans="1:8">
      <c r="A345" t="s">
        <v>62</v>
      </c>
      <c r="B345" t="s">
        <v>63</v>
      </c>
      <c r="C345">
        <v>7</v>
      </c>
      <c r="D345" s="5">
        <v>0.63580000000000003</v>
      </c>
      <c r="E345" s="5">
        <v>0.56169999999999998</v>
      </c>
      <c r="F345" s="6">
        <v>77.760000000000005</v>
      </c>
      <c r="G345" s="6">
        <v>81.7</v>
      </c>
      <c r="H345" s="6">
        <v>22.9</v>
      </c>
    </row>
    <row r="346" spans="1:8">
      <c r="A346" t="s">
        <v>62</v>
      </c>
      <c r="B346" t="s">
        <v>63</v>
      </c>
      <c r="C346">
        <v>8</v>
      </c>
      <c r="D346" s="5">
        <v>0.60119999999999996</v>
      </c>
      <c r="E346" s="5">
        <v>0.5484</v>
      </c>
      <c r="F346" s="6">
        <v>78.86</v>
      </c>
      <c r="G346" s="6">
        <v>81</v>
      </c>
      <c r="H346" s="6">
        <v>22.9</v>
      </c>
    </row>
    <row r="347" spans="1:8">
      <c r="A347" t="s">
        <v>62</v>
      </c>
      <c r="B347" t="s">
        <v>63</v>
      </c>
      <c r="C347">
        <v>9</v>
      </c>
      <c r="D347" s="5">
        <v>0.57520000000000004</v>
      </c>
      <c r="E347" s="5">
        <v>0.51739999999999997</v>
      </c>
      <c r="F347" s="6">
        <v>79.91</v>
      </c>
      <c r="G347" s="6">
        <v>82.1</v>
      </c>
      <c r="H347" s="6">
        <v>22.9</v>
      </c>
    </row>
    <row r="348" spans="1:8">
      <c r="A348" t="s">
        <v>62</v>
      </c>
      <c r="B348" t="s">
        <v>63</v>
      </c>
      <c r="C348">
        <v>10</v>
      </c>
      <c r="D348" s="5">
        <v>0.55049999999999999</v>
      </c>
      <c r="E348" s="5">
        <v>0.54379999999999995</v>
      </c>
      <c r="F348" s="6">
        <v>80.66</v>
      </c>
      <c r="G348" s="6">
        <v>80.8</v>
      </c>
      <c r="H348" s="6">
        <v>22.9</v>
      </c>
    </row>
    <row r="349" spans="1:8">
      <c r="A349" t="s">
        <v>62</v>
      </c>
      <c r="B349" t="s">
        <v>63</v>
      </c>
      <c r="C349">
        <v>11</v>
      </c>
      <c r="D349" s="5">
        <v>0.53349999999999997</v>
      </c>
      <c r="E349" s="5">
        <v>0.4698</v>
      </c>
      <c r="F349" s="6">
        <v>81.260000000000005</v>
      </c>
      <c r="G349" s="6">
        <v>84.9</v>
      </c>
      <c r="H349" s="6">
        <v>22.9</v>
      </c>
    </row>
    <row r="350" spans="1:8">
      <c r="A350" t="s">
        <v>62</v>
      </c>
      <c r="B350" t="s">
        <v>63</v>
      </c>
      <c r="C350">
        <v>12</v>
      </c>
      <c r="D350" s="5">
        <v>0.51280000000000003</v>
      </c>
      <c r="E350" s="5">
        <v>0.46079999999999999</v>
      </c>
      <c r="F350" s="6">
        <v>82.01</v>
      </c>
      <c r="G350" s="6">
        <v>83.1</v>
      </c>
      <c r="H350" s="6">
        <v>22.9</v>
      </c>
    </row>
    <row r="351" spans="1:8">
      <c r="A351" t="s">
        <v>62</v>
      </c>
      <c r="B351" t="s">
        <v>63</v>
      </c>
      <c r="C351">
        <v>13</v>
      </c>
      <c r="D351" s="5">
        <v>0.49859999999999999</v>
      </c>
      <c r="E351" s="5">
        <v>0.442</v>
      </c>
      <c r="F351" s="6">
        <v>82.54</v>
      </c>
      <c r="G351" s="6">
        <v>84.7</v>
      </c>
      <c r="H351" s="6">
        <v>22.9</v>
      </c>
    </row>
    <row r="352" spans="1:8">
      <c r="A352" t="s">
        <v>62</v>
      </c>
      <c r="B352" t="s">
        <v>63</v>
      </c>
      <c r="C352">
        <v>14</v>
      </c>
      <c r="D352" s="5">
        <v>0.48230000000000001</v>
      </c>
      <c r="E352" s="5">
        <v>0.44400000000000001</v>
      </c>
      <c r="F352" s="6">
        <v>83.23</v>
      </c>
      <c r="G352" s="6">
        <v>86.3</v>
      </c>
      <c r="H352" s="6">
        <v>22.9</v>
      </c>
    </row>
    <row r="353" spans="1:8">
      <c r="A353" t="s">
        <v>62</v>
      </c>
      <c r="B353" t="s">
        <v>63</v>
      </c>
      <c r="C353">
        <v>15</v>
      </c>
      <c r="D353" s="5">
        <v>0.4647</v>
      </c>
      <c r="E353" s="5">
        <v>0.44929999999999998</v>
      </c>
      <c r="F353" s="6">
        <v>83.81</v>
      </c>
      <c r="G353" s="6">
        <v>83.7</v>
      </c>
      <c r="H353" s="6">
        <v>22.9</v>
      </c>
    </row>
    <row r="354" spans="1:8">
      <c r="A354" t="s">
        <v>62</v>
      </c>
      <c r="B354" t="s">
        <v>63</v>
      </c>
      <c r="C354">
        <v>16</v>
      </c>
      <c r="D354" s="5">
        <v>0.4572</v>
      </c>
      <c r="E354" s="5">
        <v>0.44069999999999998</v>
      </c>
      <c r="F354" s="6">
        <v>84.13</v>
      </c>
      <c r="G354" s="6">
        <v>85.8</v>
      </c>
      <c r="H354" s="6">
        <v>22.9</v>
      </c>
    </row>
    <row r="355" spans="1:8">
      <c r="A355" t="s">
        <v>62</v>
      </c>
      <c r="B355" t="s">
        <v>63</v>
      </c>
      <c r="C355">
        <v>17</v>
      </c>
      <c r="D355" s="5">
        <v>0.44390000000000002</v>
      </c>
      <c r="E355" s="5">
        <v>0.46150000000000002</v>
      </c>
      <c r="F355" s="6">
        <v>84.48</v>
      </c>
      <c r="G355" s="6">
        <v>84.6</v>
      </c>
      <c r="H355" s="6">
        <v>22.9</v>
      </c>
    </row>
    <row r="356" spans="1:8">
      <c r="A356" t="s">
        <v>62</v>
      </c>
      <c r="B356" t="s">
        <v>63</v>
      </c>
      <c r="C356">
        <v>18</v>
      </c>
      <c r="D356" s="5">
        <v>0.42730000000000001</v>
      </c>
      <c r="E356" s="5">
        <v>0.43790000000000001</v>
      </c>
      <c r="F356" s="6">
        <v>85.02</v>
      </c>
      <c r="G356" s="6">
        <v>84.6</v>
      </c>
      <c r="H356" s="6">
        <v>22.9</v>
      </c>
    </row>
    <row r="357" spans="1:8">
      <c r="A357" t="s">
        <v>62</v>
      </c>
      <c r="B357" t="s">
        <v>63</v>
      </c>
      <c r="C357">
        <v>19</v>
      </c>
      <c r="D357" s="5">
        <v>0.41539999999999999</v>
      </c>
      <c r="E357" s="5">
        <v>0.3972</v>
      </c>
      <c r="F357" s="6">
        <v>85.48</v>
      </c>
      <c r="G357" s="6">
        <v>86.5</v>
      </c>
      <c r="H357" s="6">
        <v>22.9</v>
      </c>
    </row>
    <row r="358" spans="1:8">
      <c r="A358" t="s">
        <v>62</v>
      </c>
      <c r="B358" t="s">
        <v>63</v>
      </c>
      <c r="C358">
        <v>20</v>
      </c>
      <c r="D358" s="5">
        <v>0.41110000000000002</v>
      </c>
      <c r="E358" s="5">
        <v>0.4279</v>
      </c>
      <c r="F358" s="6">
        <v>85.5</v>
      </c>
      <c r="G358" s="6">
        <v>85.7</v>
      </c>
      <c r="H358" s="6">
        <v>22.9</v>
      </c>
    </row>
    <row r="359" spans="1:8">
      <c r="A359" t="s">
        <v>62</v>
      </c>
      <c r="B359" t="s">
        <v>63</v>
      </c>
      <c r="C359">
        <v>21</v>
      </c>
      <c r="D359" s="5">
        <v>0.39779999999999999</v>
      </c>
      <c r="E359" s="5">
        <v>0.4108</v>
      </c>
      <c r="F359" s="6">
        <v>86.2</v>
      </c>
      <c r="G359" s="6">
        <v>86.1</v>
      </c>
      <c r="H359" s="6">
        <v>22.9</v>
      </c>
    </row>
    <row r="360" spans="1:8">
      <c r="A360" t="s">
        <v>62</v>
      </c>
      <c r="B360" t="s">
        <v>63</v>
      </c>
      <c r="C360">
        <v>22</v>
      </c>
      <c r="D360" s="5">
        <v>0.39129999999999998</v>
      </c>
      <c r="E360" s="5">
        <v>0.36730000000000002</v>
      </c>
      <c r="F360" s="6">
        <v>86.44</v>
      </c>
      <c r="G360" s="6">
        <v>87.4</v>
      </c>
      <c r="H360" s="6">
        <v>22.9</v>
      </c>
    </row>
    <row r="361" spans="1:8">
      <c r="A361" t="s">
        <v>62</v>
      </c>
      <c r="B361" t="s">
        <v>63</v>
      </c>
      <c r="C361">
        <v>23</v>
      </c>
      <c r="D361" s="5">
        <v>0.38040000000000002</v>
      </c>
      <c r="E361" s="5">
        <v>0.40279999999999999</v>
      </c>
      <c r="F361" s="6">
        <v>86.58</v>
      </c>
      <c r="G361" s="6">
        <v>86.5</v>
      </c>
      <c r="H361" s="6">
        <v>22.9</v>
      </c>
    </row>
    <row r="362" spans="1:8">
      <c r="A362" t="s">
        <v>62</v>
      </c>
      <c r="B362" t="s">
        <v>63</v>
      </c>
      <c r="C362">
        <v>24</v>
      </c>
      <c r="D362" s="5">
        <v>0.37490000000000001</v>
      </c>
      <c r="E362" s="5">
        <v>0.39079999999999998</v>
      </c>
      <c r="F362" s="6">
        <v>86.61</v>
      </c>
      <c r="G362" s="6">
        <v>86.6</v>
      </c>
      <c r="H362" s="6">
        <v>22.9</v>
      </c>
    </row>
    <row r="363" spans="1:8">
      <c r="A363" t="s">
        <v>62</v>
      </c>
      <c r="B363" t="s">
        <v>63</v>
      </c>
      <c r="C363">
        <v>25</v>
      </c>
      <c r="D363" s="5">
        <v>0.3624</v>
      </c>
      <c r="E363" s="5">
        <v>0.42270000000000002</v>
      </c>
      <c r="F363" s="6">
        <v>87.28</v>
      </c>
      <c r="G363" s="6">
        <v>86.1</v>
      </c>
      <c r="H363" s="6">
        <v>22.9</v>
      </c>
    </row>
    <row r="364" spans="1:8">
      <c r="A364" t="s">
        <v>62</v>
      </c>
      <c r="B364" t="s">
        <v>63</v>
      </c>
      <c r="C364">
        <v>26</v>
      </c>
      <c r="D364" s="5">
        <v>0.35649999999999998</v>
      </c>
      <c r="E364" s="5">
        <v>0.39629999999999999</v>
      </c>
      <c r="F364" s="6">
        <v>87.46</v>
      </c>
      <c r="G364" s="6">
        <v>87.1</v>
      </c>
      <c r="H364" s="6">
        <v>22.9</v>
      </c>
    </row>
    <row r="365" spans="1:8">
      <c r="A365" t="s">
        <v>62</v>
      </c>
      <c r="B365" t="s">
        <v>63</v>
      </c>
      <c r="C365">
        <v>27</v>
      </c>
      <c r="D365" s="5">
        <v>0.35449999999999998</v>
      </c>
      <c r="E365" s="5">
        <v>0.40860000000000002</v>
      </c>
      <c r="F365" s="6">
        <v>87.64</v>
      </c>
      <c r="G365" s="6">
        <v>85.3</v>
      </c>
      <c r="H365" s="6">
        <v>22.9</v>
      </c>
    </row>
    <row r="366" spans="1:8">
      <c r="A366" t="s">
        <v>62</v>
      </c>
      <c r="B366" t="s">
        <v>63</v>
      </c>
      <c r="C366">
        <v>28</v>
      </c>
      <c r="D366" s="5">
        <v>0.34160000000000001</v>
      </c>
      <c r="E366" s="5">
        <v>0.44940000000000002</v>
      </c>
      <c r="F366" s="6">
        <v>87.83</v>
      </c>
      <c r="G366" s="6">
        <v>85.8</v>
      </c>
      <c r="H366" s="6">
        <v>22.9</v>
      </c>
    </row>
    <row r="367" spans="1:8">
      <c r="A367" t="s">
        <v>62</v>
      </c>
      <c r="B367" t="s">
        <v>63</v>
      </c>
      <c r="C367">
        <v>29</v>
      </c>
      <c r="D367" s="5">
        <v>0.34200000000000003</v>
      </c>
      <c r="E367" s="5">
        <v>0.35539999999999999</v>
      </c>
      <c r="F367" s="6">
        <v>87.94</v>
      </c>
      <c r="G367" s="6">
        <v>88.2</v>
      </c>
      <c r="H367" s="6">
        <v>22.9</v>
      </c>
    </row>
    <row r="368" spans="1:8">
      <c r="A368" t="s">
        <v>62</v>
      </c>
      <c r="B368" t="s">
        <v>63</v>
      </c>
      <c r="C368">
        <v>30</v>
      </c>
      <c r="D368" s="5">
        <v>0.32529999999999998</v>
      </c>
      <c r="E368" s="5">
        <v>0.41299999999999998</v>
      </c>
      <c r="F368" s="6">
        <v>88.48</v>
      </c>
      <c r="G368" s="6">
        <v>86.8</v>
      </c>
      <c r="H368" s="6">
        <v>22.9</v>
      </c>
    </row>
    <row r="369" spans="1:8">
      <c r="A369" t="s">
        <v>62</v>
      </c>
      <c r="B369" t="s">
        <v>63</v>
      </c>
      <c r="C369">
        <v>31</v>
      </c>
      <c r="D369" s="5">
        <v>0.32879999999999998</v>
      </c>
      <c r="E369" s="5">
        <v>0.38119999999999998</v>
      </c>
      <c r="F369" s="6">
        <v>88.25</v>
      </c>
      <c r="G369" s="6">
        <v>87.5</v>
      </c>
      <c r="H369" s="6">
        <v>22.9</v>
      </c>
    </row>
    <row r="370" spans="1:8">
      <c r="A370" t="s">
        <v>62</v>
      </c>
      <c r="B370" t="s">
        <v>63</v>
      </c>
      <c r="C370">
        <v>32</v>
      </c>
      <c r="D370" s="5">
        <v>0.31919999999999998</v>
      </c>
      <c r="E370" s="5">
        <v>0.39800000000000002</v>
      </c>
      <c r="F370" s="6">
        <v>88.69</v>
      </c>
      <c r="G370" s="6">
        <v>87.9</v>
      </c>
      <c r="H370" s="6">
        <v>22.9</v>
      </c>
    </row>
    <row r="371" spans="1:8">
      <c r="A371" t="s">
        <v>62</v>
      </c>
      <c r="B371" t="s">
        <v>63</v>
      </c>
      <c r="C371">
        <v>33</v>
      </c>
      <c r="D371" s="5">
        <v>0.31469999999999998</v>
      </c>
      <c r="E371" s="5">
        <v>0.36599999999999999</v>
      </c>
      <c r="F371" s="6">
        <v>88.84</v>
      </c>
      <c r="G371" s="6">
        <v>88.4</v>
      </c>
      <c r="H371" s="6">
        <v>22.9</v>
      </c>
    </row>
    <row r="372" spans="1:8">
      <c r="A372" t="s">
        <v>62</v>
      </c>
      <c r="B372" t="s">
        <v>63</v>
      </c>
      <c r="C372">
        <v>34</v>
      </c>
      <c r="D372" s="5">
        <v>0.30809999999999998</v>
      </c>
      <c r="E372" s="5">
        <v>0.36880000000000002</v>
      </c>
      <c r="F372" s="6">
        <v>88.97</v>
      </c>
      <c r="G372" s="6">
        <v>87.6</v>
      </c>
      <c r="H372" s="6">
        <v>22.9</v>
      </c>
    </row>
    <row r="373" spans="1:8">
      <c r="A373" t="s">
        <v>62</v>
      </c>
      <c r="B373" t="s">
        <v>63</v>
      </c>
      <c r="C373">
        <v>35</v>
      </c>
      <c r="D373" s="5">
        <v>0.3044</v>
      </c>
      <c r="E373" s="5">
        <v>0.34100000000000003</v>
      </c>
      <c r="F373" s="6">
        <v>89.09</v>
      </c>
      <c r="G373" s="6">
        <v>89</v>
      </c>
      <c r="H373" s="6">
        <v>22.9</v>
      </c>
    </row>
    <row r="374" spans="1:8">
      <c r="A374" t="s">
        <v>62</v>
      </c>
      <c r="B374" t="s">
        <v>63</v>
      </c>
      <c r="C374">
        <v>36</v>
      </c>
      <c r="D374" s="5">
        <v>0.29849999999999999</v>
      </c>
      <c r="E374" s="5">
        <v>0.38190000000000002</v>
      </c>
      <c r="F374" s="6">
        <v>89.31</v>
      </c>
      <c r="G374" s="6">
        <v>87.4</v>
      </c>
      <c r="H374" s="6">
        <v>22.9</v>
      </c>
    </row>
    <row r="375" spans="1:8">
      <c r="A375" t="s">
        <v>62</v>
      </c>
      <c r="B375" t="s">
        <v>63</v>
      </c>
      <c r="C375">
        <v>37</v>
      </c>
      <c r="D375" s="5">
        <v>0.29980000000000001</v>
      </c>
      <c r="E375" s="5">
        <v>0.39889999999999998</v>
      </c>
      <c r="F375" s="6">
        <v>89.38</v>
      </c>
      <c r="G375" s="6">
        <v>87.6</v>
      </c>
      <c r="H375" s="6">
        <v>22.9</v>
      </c>
    </row>
    <row r="376" spans="1:8">
      <c r="A376" t="s">
        <v>62</v>
      </c>
      <c r="B376" t="s">
        <v>63</v>
      </c>
      <c r="C376">
        <v>38</v>
      </c>
      <c r="D376" s="5">
        <v>0.29020000000000001</v>
      </c>
      <c r="E376" s="5">
        <v>0.33229999999999998</v>
      </c>
      <c r="F376" s="6">
        <v>89.61</v>
      </c>
      <c r="G376" s="6">
        <v>89.6</v>
      </c>
      <c r="H376" s="6">
        <v>22.9</v>
      </c>
    </row>
    <row r="377" spans="1:8">
      <c r="A377" t="s">
        <v>62</v>
      </c>
      <c r="B377" t="s">
        <v>63</v>
      </c>
      <c r="C377">
        <v>39</v>
      </c>
      <c r="D377" s="5">
        <v>0.28670000000000001</v>
      </c>
      <c r="E377" s="5">
        <v>0.33739999999999998</v>
      </c>
      <c r="F377" s="6">
        <v>89.84</v>
      </c>
      <c r="G377" s="6">
        <v>88.2</v>
      </c>
      <c r="H377" s="6">
        <v>22.9</v>
      </c>
    </row>
    <row r="378" spans="1:8">
      <c r="A378" t="s">
        <v>62</v>
      </c>
      <c r="B378" t="s">
        <v>63</v>
      </c>
      <c r="C378">
        <v>40</v>
      </c>
      <c r="D378" s="5">
        <v>0.28310000000000002</v>
      </c>
      <c r="E378" s="5">
        <v>0.32990000000000003</v>
      </c>
      <c r="F378" s="6">
        <v>89.92</v>
      </c>
      <c r="G378" s="6">
        <v>89.8</v>
      </c>
      <c r="H378" s="6">
        <v>22.9</v>
      </c>
    </row>
    <row r="379" spans="1:8">
      <c r="A379" t="s">
        <v>62</v>
      </c>
      <c r="B379" t="s">
        <v>63</v>
      </c>
      <c r="C379">
        <v>41</v>
      </c>
      <c r="D379" s="5">
        <v>0.27810000000000001</v>
      </c>
      <c r="E379" s="5">
        <v>0.35010000000000002</v>
      </c>
      <c r="F379" s="6">
        <v>90.05</v>
      </c>
      <c r="G379" s="6">
        <v>88.3</v>
      </c>
      <c r="H379" s="6">
        <v>22.9</v>
      </c>
    </row>
    <row r="380" spans="1:8">
      <c r="A380" t="s">
        <v>62</v>
      </c>
      <c r="B380" t="s">
        <v>63</v>
      </c>
      <c r="C380">
        <v>42</v>
      </c>
      <c r="D380" s="5">
        <v>0.27210000000000001</v>
      </c>
      <c r="E380" s="5">
        <v>0.3513</v>
      </c>
      <c r="F380" s="6">
        <v>90.26</v>
      </c>
      <c r="G380" s="6">
        <v>89</v>
      </c>
      <c r="H380" s="6">
        <v>22.9</v>
      </c>
    </row>
    <row r="381" spans="1:8">
      <c r="A381" t="s">
        <v>62</v>
      </c>
      <c r="B381" t="s">
        <v>63</v>
      </c>
      <c r="C381">
        <v>43</v>
      </c>
      <c r="D381" s="5">
        <v>0.26719999999999999</v>
      </c>
      <c r="E381" s="5">
        <v>0.36080000000000001</v>
      </c>
      <c r="F381" s="6">
        <v>90.26</v>
      </c>
      <c r="G381" s="6">
        <v>89.2</v>
      </c>
      <c r="H381" s="6">
        <v>22.9</v>
      </c>
    </row>
    <row r="382" spans="1:8">
      <c r="A382" t="s">
        <v>62</v>
      </c>
      <c r="B382" t="s">
        <v>63</v>
      </c>
      <c r="C382">
        <v>44</v>
      </c>
      <c r="D382" s="5">
        <v>0.26529999999999998</v>
      </c>
      <c r="E382" s="5">
        <v>0.35389999999999999</v>
      </c>
      <c r="F382" s="6">
        <v>90.43</v>
      </c>
      <c r="G382" s="6">
        <v>89.3</v>
      </c>
      <c r="H382" s="6">
        <v>22.9</v>
      </c>
    </row>
    <row r="383" spans="1:8">
      <c r="A383" t="s">
        <v>62</v>
      </c>
      <c r="B383" t="s">
        <v>63</v>
      </c>
      <c r="C383">
        <v>45</v>
      </c>
      <c r="D383" s="5">
        <v>0.26200000000000001</v>
      </c>
      <c r="E383" s="5">
        <v>0.37519999999999998</v>
      </c>
      <c r="F383" s="6">
        <v>90.68</v>
      </c>
      <c r="G383" s="6">
        <v>88.1</v>
      </c>
      <c r="H383" s="6">
        <v>22.9</v>
      </c>
    </row>
    <row r="384" spans="1:8">
      <c r="A384" t="s">
        <v>62</v>
      </c>
      <c r="B384" t="s">
        <v>63</v>
      </c>
      <c r="C384">
        <v>46</v>
      </c>
      <c r="D384" s="5">
        <v>0.25740000000000002</v>
      </c>
      <c r="E384" s="5">
        <v>0.33610000000000001</v>
      </c>
      <c r="F384" s="6">
        <v>90.88</v>
      </c>
      <c r="G384" s="6">
        <v>90.1</v>
      </c>
      <c r="H384" s="6">
        <v>22.9</v>
      </c>
    </row>
    <row r="385" spans="1:8">
      <c r="A385" t="s">
        <v>62</v>
      </c>
      <c r="B385" t="s">
        <v>63</v>
      </c>
      <c r="C385">
        <v>47</v>
      </c>
      <c r="D385" s="5">
        <v>0.25240000000000001</v>
      </c>
      <c r="E385" s="5">
        <v>0.34899999999999998</v>
      </c>
      <c r="F385" s="6">
        <v>90.98</v>
      </c>
      <c r="G385" s="6">
        <v>89.6</v>
      </c>
      <c r="H385" s="6">
        <v>22.9</v>
      </c>
    </row>
    <row r="386" spans="1:8">
      <c r="A386" t="s">
        <v>62</v>
      </c>
      <c r="B386" t="s">
        <v>63</v>
      </c>
      <c r="C386">
        <v>48</v>
      </c>
      <c r="D386" s="5">
        <v>0.25159999999999999</v>
      </c>
      <c r="E386" s="5">
        <v>0.3659</v>
      </c>
      <c r="F386" s="6">
        <v>90.99</v>
      </c>
      <c r="G386" s="6">
        <v>89.2</v>
      </c>
      <c r="H386" s="6">
        <v>22.9</v>
      </c>
    </row>
    <row r="387" spans="1:8">
      <c r="A387" t="s">
        <v>62</v>
      </c>
      <c r="B387" t="s">
        <v>63</v>
      </c>
      <c r="C387">
        <v>49</v>
      </c>
      <c r="D387" s="5">
        <v>0.25019999999999998</v>
      </c>
      <c r="E387" s="5">
        <v>0.35289999999999999</v>
      </c>
      <c r="F387" s="6">
        <v>90.98</v>
      </c>
      <c r="G387" s="6">
        <v>88.3</v>
      </c>
      <c r="H387" s="6">
        <v>22.9</v>
      </c>
    </row>
    <row r="388" spans="1:8">
      <c r="A388" t="s">
        <v>62</v>
      </c>
      <c r="B388" t="s">
        <v>63</v>
      </c>
      <c r="C388">
        <v>50</v>
      </c>
      <c r="D388" s="5">
        <v>0.24410000000000001</v>
      </c>
      <c r="E388" s="5">
        <v>0.36080000000000001</v>
      </c>
      <c r="F388" s="6">
        <v>91.23</v>
      </c>
      <c r="G388" s="6">
        <v>89.5</v>
      </c>
      <c r="H388" s="6">
        <v>22.9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/>
  </sheetViews>
  <sheetFormatPr baseColWidth="10" defaultColWidth="8.83203125" defaultRowHeight="15"/>
  <cols>
    <col min="1" max="1" width="10" customWidth="1"/>
    <col min="2" max="5" width="16" customWidth="1"/>
  </cols>
  <sheetData>
    <row r="1" spans="1:5" ht="46.25" customHeight="1">
      <c r="A1" s="15" t="s">
        <v>66</v>
      </c>
      <c r="B1" s="12"/>
      <c r="C1" s="12"/>
      <c r="D1" s="12"/>
      <c r="E1" s="12"/>
    </row>
    <row r="2" spans="1:5">
      <c r="A2" s="7" t="s">
        <v>21</v>
      </c>
      <c r="B2" t="s">
        <v>32</v>
      </c>
      <c r="C2" s="7" t="s">
        <v>24</v>
      </c>
      <c r="D2">
        <v>10</v>
      </c>
    </row>
    <row r="3" spans="1:5" ht="48" customHeight="1">
      <c r="A3" s="7" t="s">
        <v>7</v>
      </c>
      <c r="B3">
        <v>0.74</v>
      </c>
      <c r="C3" s="7" t="s">
        <v>67</v>
      </c>
      <c r="D3" s="8" t="s">
        <v>33</v>
      </c>
    </row>
    <row r="5" spans="1:5">
      <c r="A5" s="1" t="s">
        <v>2</v>
      </c>
      <c r="B5" s="1" t="s">
        <v>17</v>
      </c>
      <c r="C5" s="1" t="s">
        <v>18</v>
      </c>
      <c r="D5" s="1" t="s">
        <v>3</v>
      </c>
      <c r="E5" s="1" t="s">
        <v>4</v>
      </c>
    </row>
    <row r="6" spans="1:5">
      <c r="A6">
        <v>1</v>
      </c>
      <c r="B6" s="5">
        <v>1.8299000000000001</v>
      </c>
      <c r="C6" s="5">
        <v>1.5705</v>
      </c>
      <c r="D6" s="6">
        <v>34.14</v>
      </c>
      <c r="E6" s="6">
        <v>43.3</v>
      </c>
    </row>
    <row r="7" spans="1:5">
      <c r="A7">
        <v>2</v>
      </c>
      <c r="B7" s="5">
        <v>1.4882</v>
      </c>
      <c r="C7" s="5">
        <v>1.4520999999999999</v>
      </c>
      <c r="D7" s="6">
        <v>46.8</v>
      </c>
      <c r="E7" s="6">
        <v>49.7</v>
      </c>
    </row>
    <row r="8" spans="1:5">
      <c r="A8">
        <v>3</v>
      </c>
      <c r="B8" s="5">
        <v>1.4004000000000001</v>
      </c>
      <c r="C8" s="5">
        <v>1.3609</v>
      </c>
      <c r="D8" s="6">
        <v>50.25</v>
      </c>
      <c r="E8" s="6">
        <v>52.3</v>
      </c>
    </row>
    <row r="9" spans="1:5">
      <c r="A9">
        <v>4</v>
      </c>
      <c r="B9" s="5">
        <v>1.2555000000000001</v>
      </c>
      <c r="C9" s="5">
        <v>1.2204999999999999</v>
      </c>
      <c r="D9" s="6">
        <v>55.74</v>
      </c>
      <c r="E9" s="6">
        <v>57.5</v>
      </c>
    </row>
    <row r="10" spans="1:5">
      <c r="A10">
        <v>5</v>
      </c>
      <c r="B10" s="5">
        <v>1.1597</v>
      </c>
      <c r="C10" s="5">
        <v>1.2726</v>
      </c>
      <c r="D10" s="6">
        <v>58.92</v>
      </c>
      <c r="E10" s="6">
        <v>54.8</v>
      </c>
    </row>
    <row r="11" spans="1:5">
      <c r="A11">
        <v>6</v>
      </c>
      <c r="B11" s="5">
        <v>1.292</v>
      </c>
      <c r="C11" s="5">
        <v>1.3616999999999999</v>
      </c>
      <c r="D11" s="6">
        <v>54.11</v>
      </c>
      <c r="E11" s="6">
        <v>52</v>
      </c>
    </row>
    <row r="12" spans="1:5">
      <c r="A12">
        <v>7</v>
      </c>
      <c r="B12" s="5">
        <v>1.3282</v>
      </c>
      <c r="C12" s="5">
        <v>1.335</v>
      </c>
      <c r="D12" s="6">
        <v>52.93</v>
      </c>
      <c r="E12" s="6">
        <v>53.8</v>
      </c>
    </row>
    <row r="13" spans="1:5">
      <c r="A13">
        <v>8</v>
      </c>
      <c r="B13" s="5">
        <v>1.2150000000000001</v>
      </c>
      <c r="C13" s="5">
        <v>1.2685</v>
      </c>
      <c r="D13" s="6">
        <v>56.99</v>
      </c>
      <c r="E13" s="6">
        <v>55.3</v>
      </c>
    </row>
    <row r="14" spans="1:5">
      <c r="A14">
        <v>9</v>
      </c>
      <c r="B14" s="5">
        <v>1.0771999999999999</v>
      </c>
      <c r="C14" s="5">
        <v>1.2988999999999999</v>
      </c>
      <c r="D14" s="6">
        <v>62.17</v>
      </c>
      <c r="E14" s="6">
        <v>54.2</v>
      </c>
    </row>
    <row r="15" spans="1:5">
      <c r="A15">
        <v>10</v>
      </c>
      <c r="B15" s="5">
        <v>1.2256</v>
      </c>
      <c r="C15" s="5">
        <v>1.3214999999999999</v>
      </c>
      <c r="D15" s="6">
        <v>56.4</v>
      </c>
      <c r="E15" s="6">
        <v>52.1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"/>
  <sheetViews>
    <sheetView workbookViewId="0"/>
  </sheetViews>
  <sheetFormatPr baseColWidth="10" defaultColWidth="8.83203125" defaultRowHeight="15"/>
  <cols>
    <col min="1" max="1" width="10" customWidth="1"/>
    <col min="2" max="5" width="16" customWidth="1"/>
  </cols>
  <sheetData>
    <row r="1" spans="1:5" ht="46.25" customHeight="1">
      <c r="A1" s="15" t="s">
        <v>68</v>
      </c>
      <c r="B1" s="12"/>
      <c r="C1" s="12"/>
      <c r="D1" s="12"/>
      <c r="E1" s="12"/>
    </row>
    <row r="2" spans="1:5">
      <c r="A2" s="7" t="s">
        <v>21</v>
      </c>
      <c r="B2" t="s">
        <v>35</v>
      </c>
      <c r="C2" s="7" t="s">
        <v>24</v>
      </c>
      <c r="D2">
        <v>25</v>
      </c>
    </row>
    <row r="3" spans="1:5" ht="64" customHeight="1">
      <c r="A3" s="7" t="s">
        <v>7</v>
      </c>
      <c r="B3">
        <v>3.96</v>
      </c>
      <c r="C3" s="7" t="s">
        <v>67</v>
      </c>
      <c r="D3" s="8" t="s">
        <v>36</v>
      </c>
    </row>
    <row r="5" spans="1:5">
      <c r="A5" s="1" t="s">
        <v>2</v>
      </c>
      <c r="B5" s="1" t="s">
        <v>17</v>
      </c>
      <c r="C5" s="1" t="s">
        <v>18</v>
      </c>
      <c r="D5" s="1" t="s">
        <v>3</v>
      </c>
      <c r="E5" s="1" t="s">
        <v>4</v>
      </c>
    </row>
    <row r="6" spans="1:5">
      <c r="A6">
        <v>1</v>
      </c>
      <c r="B6" s="5">
        <v>1.4305000000000001</v>
      </c>
      <c r="C6" s="5">
        <v>1.1332</v>
      </c>
      <c r="D6" s="6">
        <v>48.6</v>
      </c>
      <c r="E6" s="6">
        <v>59.8</v>
      </c>
    </row>
    <row r="7" spans="1:5">
      <c r="A7">
        <v>2</v>
      </c>
      <c r="B7" s="5">
        <v>1.0444</v>
      </c>
      <c r="C7" s="5">
        <v>0.98170000000000002</v>
      </c>
      <c r="D7" s="6">
        <v>62.82</v>
      </c>
      <c r="E7" s="6">
        <v>64.400000000000006</v>
      </c>
    </row>
    <row r="8" spans="1:5">
      <c r="A8">
        <v>3</v>
      </c>
      <c r="B8" s="5">
        <v>0.87519999999999998</v>
      </c>
      <c r="C8" s="5">
        <v>0.90300000000000002</v>
      </c>
      <c r="D8" s="6">
        <v>68.819999999999993</v>
      </c>
      <c r="E8" s="6">
        <v>69</v>
      </c>
    </row>
    <row r="9" spans="1:5">
      <c r="A9">
        <v>4</v>
      </c>
      <c r="B9" s="5">
        <v>0.74970000000000003</v>
      </c>
      <c r="C9" s="5">
        <v>0.84619999999999995</v>
      </c>
      <c r="D9" s="6">
        <v>73.52</v>
      </c>
      <c r="E9" s="6">
        <v>70.900000000000006</v>
      </c>
    </row>
    <row r="10" spans="1:5">
      <c r="A10">
        <v>5</v>
      </c>
      <c r="B10" s="5">
        <v>0.64790000000000003</v>
      </c>
      <c r="C10" s="5">
        <v>0.87560000000000004</v>
      </c>
      <c r="D10" s="6">
        <v>77.13</v>
      </c>
      <c r="E10" s="6">
        <v>69.3</v>
      </c>
    </row>
    <row r="11" spans="1:5">
      <c r="A11">
        <v>6</v>
      </c>
      <c r="B11" s="5">
        <v>0.55200000000000005</v>
      </c>
      <c r="C11" s="5">
        <v>0.89319999999999999</v>
      </c>
      <c r="D11" s="6">
        <v>80.64</v>
      </c>
      <c r="E11" s="6">
        <v>69.900000000000006</v>
      </c>
    </row>
    <row r="12" spans="1:5">
      <c r="A12">
        <v>7</v>
      </c>
      <c r="B12" s="5">
        <v>0.46710000000000002</v>
      </c>
      <c r="C12" s="5">
        <v>0.91969999999999996</v>
      </c>
      <c r="D12" s="6">
        <v>83.44</v>
      </c>
      <c r="E12" s="6">
        <v>72.099999999999994</v>
      </c>
    </row>
    <row r="13" spans="1:5">
      <c r="A13">
        <v>8</v>
      </c>
      <c r="B13" s="5">
        <v>0.3846</v>
      </c>
      <c r="C13" s="5">
        <v>1.0161</v>
      </c>
      <c r="D13" s="6">
        <v>86.34</v>
      </c>
      <c r="E13" s="6">
        <v>70.7</v>
      </c>
    </row>
    <row r="14" spans="1:5">
      <c r="A14">
        <v>9</v>
      </c>
      <c r="B14" s="5">
        <v>0.30299999999999999</v>
      </c>
      <c r="C14" s="5">
        <v>1.125</v>
      </c>
      <c r="D14" s="6">
        <v>89.27</v>
      </c>
      <c r="E14" s="6">
        <v>71.099999999999994</v>
      </c>
    </row>
    <row r="15" spans="1:5">
      <c r="A15">
        <v>10</v>
      </c>
      <c r="B15" s="5">
        <v>0.2351</v>
      </c>
      <c r="C15" s="5">
        <v>1.2685</v>
      </c>
      <c r="D15" s="6">
        <v>91.73</v>
      </c>
      <c r="E15" s="6">
        <v>70.099999999999994</v>
      </c>
    </row>
    <row r="16" spans="1:5">
      <c r="A16">
        <v>11</v>
      </c>
      <c r="B16" s="5">
        <v>0.19109999999999999</v>
      </c>
      <c r="C16" s="5">
        <v>1.3140000000000001</v>
      </c>
      <c r="D16" s="6">
        <v>93.11</v>
      </c>
      <c r="E16" s="6">
        <v>69.3</v>
      </c>
    </row>
    <row r="17" spans="1:5">
      <c r="A17">
        <v>12</v>
      </c>
      <c r="B17" s="5">
        <v>0.1457</v>
      </c>
      <c r="C17" s="5">
        <v>1.5109999999999999</v>
      </c>
      <c r="D17" s="6">
        <v>94.95</v>
      </c>
      <c r="E17" s="6">
        <v>70.099999999999994</v>
      </c>
    </row>
    <row r="18" spans="1:5">
      <c r="A18">
        <v>13</v>
      </c>
      <c r="B18" s="5">
        <v>0.13439999999999999</v>
      </c>
      <c r="C18" s="5">
        <v>1.6425000000000001</v>
      </c>
      <c r="D18" s="6">
        <v>95.2</v>
      </c>
      <c r="E18" s="6">
        <v>69.7</v>
      </c>
    </row>
    <row r="19" spans="1:5">
      <c r="A19">
        <v>14</v>
      </c>
      <c r="B19" s="5">
        <v>0.10920000000000001</v>
      </c>
      <c r="C19" s="5">
        <v>1.7097</v>
      </c>
      <c r="D19" s="6">
        <v>96.16</v>
      </c>
      <c r="E19" s="6">
        <v>69.7</v>
      </c>
    </row>
    <row r="20" spans="1:5">
      <c r="A20">
        <v>15</v>
      </c>
      <c r="B20" s="5">
        <v>9.8000000000000004E-2</v>
      </c>
      <c r="C20" s="5">
        <v>1.8057000000000001</v>
      </c>
      <c r="D20" s="6">
        <v>96.64</v>
      </c>
      <c r="E20" s="6">
        <v>69.5</v>
      </c>
    </row>
    <row r="21" spans="1:5">
      <c r="A21">
        <v>16</v>
      </c>
      <c r="B21" s="5">
        <v>9.0899999999999995E-2</v>
      </c>
      <c r="C21" s="5">
        <v>1.915</v>
      </c>
      <c r="D21" s="6">
        <v>96.89</v>
      </c>
      <c r="E21" s="6">
        <v>70</v>
      </c>
    </row>
    <row r="22" spans="1:5">
      <c r="A22">
        <v>17</v>
      </c>
      <c r="B22" s="5">
        <v>7.8200000000000006E-2</v>
      </c>
      <c r="C22" s="5">
        <v>2.14</v>
      </c>
      <c r="D22" s="6">
        <v>97.32</v>
      </c>
      <c r="E22" s="6">
        <v>67.7</v>
      </c>
    </row>
    <row r="23" spans="1:5">
      <c r="A23">
        <v>18</v>
      </c>
      <c r="B23" s="5">
        <v>8.1600000000000006E-2</v>
      </c>
      <c r="C23" s="5">
        <v>2.0560999999999998</v>
      </c>
      <c r="D23" s="6">
        <v>97.18</v>
      </c>
      <c r="E23" s="6">
        <v>68.5</v>
      </c>
    </row>
    <row r="24" spans="1:5">
      <c r="A24">
        <v>19</v>
      </c>
      <c r="B24" s="5">
        <v>7.8399999999999997E-2</v>
      </c>
      <c r="C24" s="5">
        <v>2.2688000000000001</v>
      </c>
      <c r="D24" s="6">
        <v>97.21</v>
      </c>
      <c r="E24" s="6">
        <v>67.8</v>
      </c>
    </row>
    <row r="25" spans="1:5">
      <c r="A25">
        <v>20</v>
      </c>
      <c r="B25" s="5">
        <v>6.1899999999999997E-2</v>
      </c>
      <c r="C25" s="5">
        <v>2.2900999999999998</v>
      </c>
      <c r="D25" s="6">
        <v>97.95</v>
      </c>
      <c r="E25" s="6">
        <v>67.900000000000006</v>
      </c>
    </row>
    <row r="26" spans="1:5">
      <c r="A26">
        <v>21</v>
      </c>
      <c r="B26" s="5">
        <v>6.6799999999999998E-2</v>
      </c>
      <c r="C26" s="5">
        <v>2.4296000000000002</v>
      </c>
      <c r="D26" s="6">
        <v>97.72</v>
      </c>
      <c r="E26" s="6">
        <v>68.400000000000006</v>
      </c>
    </row>
    <row r="27" spans="1:5">
      <c r="A27">
        <v>22</v>
      </c>
      <c r="B27" s="5">
        <v>7.3999999999999996E-2</v>
      </c>
      <c r="C27" s="5">
        <v>2.2334999999999998</v>
      </c>
      <c r="D27" s="6">
        <v>97.4</v>
      </c>
      <c r="E27" s="6">
        <v>69.5</v>
      </c>
    </row>
    <row r="28" spans="1:5">
      <c r="A28">
        <v>23</v>
      </c>
      <c r="B28" s="5">
        <v>4.6899999999999997E-2</v>
      </c>
      <c r="C28" s="5">
        <v>2.3672</v>
      </c>
      <c r="D28" s="6">
        <v>98.41</v>
      </c>
      <c r="E28" s="6">
        <v>70.5</v>
      </c>
    </row>
    <row r="29" spans="1:5">
      <c r="A29">
        <v>24</v>
      </c>
      <c r="B29" s="5">
        <v>0.05</v>
      </c>
      <c r="C29" s="5">
        <v>2.4260999999999999</v>
      </c>
      <c r="D29" s="6">
        <v>98.22</v>
      </c>
      <c r="E29" s="6">
        <v>69</v>
      </c>
    </row>
    <row r="30" spans="1:5">
      <c r="A30">
        <v>25</v>
      </c>
      <c r="B30" s="5">
        <v>6.7500000000000004E-2</v>
      </c>
      <c r="C30" s="5">
        <v>2.4108999999999998</v>
      </c>
      <c r="D30" s="6">
        <v>97.65</v>
      </c>
      <c r="E30" s="6">
        <v>69.099999999999994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workbookViewId="0">
      <selection sqref="A1:E1"/>
    </sheetView>
  </sheetViews>
  <sheetFormatPr baseColWidth="10" defaultColWidth="8.83203125" defaultRowHeight="15"/>
  <cols>
    <col min="1" max="1" width="10" customWidth="1"/>
    <col min="2" max="5" width="16" customWidth="1"/>
  </cols>
  <sheetData>
    <row r="1" spans="1:5" ht="46.25" customHeight="1">
      <c r="A1" s="15" t="s">
        <v>69</v>
      </c>
      <c r="B1" s="12"/>
      <c r="C1" s="12"/>
      <c r="D1" s="12"/>
      <c r="E1" s="12"/>
    </row>
    <row r="2" spans="1:5">
      <c r="A2" s="7" t="s">
        <v>21</v>
      </c>
      <c r="B2" t="s">
        <v>38</v>
      </c>
      <c r="C2" s="7" t="s">
        <v>24</v>
      </c>
      <c r="D2">
        <v>25</v>
      </c>
    </row>
    <row r="3" spans="1:5" ht="64" customHeight="1">
      <c r="A3" s="7" t="s">
        <v>7</v>
      </c>
      <c r="B3">
        <v>20.62</v>
      </c>
      <c r="C3" s="7" t="s">
        <v>67</v>
      </c>
      <c r="D3" s="8" t="s">
        <v>39</v>
      </c>
    </row>
    <row r="5" spans="1:5">
      <c r="A5" s="1" t="s">
        <v>2</v>
      </c>
      <c r="B5" s="1" t="s">
        <v>17</v>
      </c>
      <c r="C5" s="1" t="s">
        <v>18</v>
      </c>
      <c r="D5" s="1" t="s">
        <v>3</v>
      </c>
      <c r="E5" s="1" t="s">
        <v>4</v>
      </c>
    </row>
    <row r="6" spans="1:5">
      <c r="A6">
        <v>1</v>
      </c>
      <c r="B6" s="5">
        <v>1.7152000000000001</v>
      </c>
      <c r="C6" s="5">
        <v>1.423</v>
      </c>
      <c r="D6" s="6">
        <v>35.72</v>
      </c>
      <c r="E6" s="6">
        <v>48.5</v>
      </c>
    </row>
    <row r="7" spans="1:5">
      <c r="A7">
        <v>2</v>
      </c>
      <c r="B7" s="5">
        <v>1.2508999999999999</v>
      </c>
      <c r="C7" s="5">
        <v>1.1785000000000001</v>
      </c>
      <c r="D7" s="6">
        <v>54.33</v>
      </c>
      <c r="E7" s="6">
        <v>59.5</v>
      </c>
    </row>
    <row r="8" spans="1:5">
      <c r="A8">
        <v>3</v>
      </c>
      <c r="B8" s="5">
        <v>1.0105</v>
      </c>
      <c r="C8" s="5">
        <v>0.92620000000000002</v>
      </c>
      <c r="D8" s="6">
        <v>63.66</v>
      </c>
      <c r="E8" s="6">
        <v>66.5</v>
      </c>
    </row>
    <row r="9" spans="1:5">
      <c r="A9">
        <v>4</v>
      </c>
      <c r="B9" s="5">
        <v>0.86470000000000002</v>
      </c>
      <c r="C9" s="5">
        <v>0.88249999999999995</v>
      </c>
      <c r="D9" s="6">
        <v>69.19</v>
      </c>
      <c r="E9" s="6">
        <v>68.2</v>
      </c>
    </row>
    <row r="10" spans="1:5">
      <c r="A10">
        <v>5</v>
      </c>
      <c r="B10" s="5">
        <v>0.74519999999999997</v>
      </c>
      <c r="C10" s="5">
        <v>0.84109999999999996</v>
      </c>
      <c r="D10" s="6">
        <v>73.66</v>
      </c>
      <c r="E10" s="6">
        <v>69.8</v>
      </c>
    </row>
    <row r="11" spans="1:5">
      <c r="A11">
        <v>6</v>
      </c>
      <c r="B11" s="5">
        <v>0.63649999999999995</v>
      </c>
      <c r="C11" s="5">
        <v>0.76990000000000003</v>
      </c>
      <c r="D11" s="6">
        <v>77.59</v>
      </c>
      <c r="E11" s="6">
        <v>72.599999999999994</v>
      </c>
    </row>
    <row r="12" spans="1:5">
      <c r="A12">
        <v>7</v>
      </c>
      <c r="B12" s="5">
        <v>0.53959999999999997</v>
      </c>
      <c r="C12" s="5">
        <v>0.82479999999999998</v>
      </c>
      <c r="D12" s="6">
        <v>80.91</v>
      </c>
      <c r="E12" s="6">
        <v>72.900000000000006</v>
      </c>
    </row>
    <row r="13" spans="1:5">
      <c r="A13">
        <v>8</v>
      </c>
      <c r="B13" s="5">
        <v>0.45279999999999998</v>
      </c>
      <c r="C13" s="5">
        <v>0.80740000000000001</v>
      </c>
      <c r="D13" s="6">
        <v>84.17</v>
      </c>
      <c r="E13" s="6">
        <v>74.400000000000006</v>
      </c>
    </row>
    <row r="14" spans="1:5">
      <c r="A14">
        <v>9</v>
      </c>
      <c r="B14" s="5">
        <v>0.3876</v>
      </c>
      <c r="C14" s="5">
        <v>0.82909999999999995</v>
      </c>
      <c r="D14" s="6">
        <v>86.22</v>
      </c>
      <c r="E14" s="6">
        <v>76</v>
      </c>
    </row>
    <row r="15" spans="1:5">
      <c r="A15">
        <v>10</v>
      </c>
      <c r="B15" s="5">
        <v>0.29880000000000001</v>
      </c>
      <c r="C15" s="5">
        <v>0.89649999999999996</v>
      </c>
      <c r="D15" s="6">
        <v>89.55</v>
      </c>
      <c r="E15" s="6">
        <v>75.7</v>
      </c>
    </row>
    <row r="16" spans="1:5">
      <c r="A16">
        <v>11</v>
      </c>
      <c r="B16" s="5">
        <v>0.251</v>
      </c>
      <c r="C16" s="5">
        <v>0.95450000000000002</v>
      </c>
      <c r="D16" s="6">
        <v>91.13</v>
      </c>
      <c r="E16" s="6">
        <v>73.900000000000006</v>
      </c>
    </row>
    <row r="17" spans="1:5">
      <c r="A17">
        <v>12</v>
      </c>
      <c r="B17" s="5">
        <v>0.1946</v>
      </c>
      <c r="C17" s="5">
        <v>1.0072000000000001</v>
      </c>
      <c r="D17" s="6">
        <v>93.09</v>
      </c>
      <c r="E17" s="6">
        <v>74.8</v>
      </c>
    </row>
    <row r="18" spans="1:5">
      <c r="A18">
        <v>13</v>
      </c>
      <c r="B18" s="5">
        <v>0.1704</v>
      </c>
      <c r="C18" s="5">
        <v>1.1775</v>
      </c>
      <c r="D18" s="6">
        <v>94</v>
      </c>
      <c r="E18" s="6">
        <v>74.400000000000006</v>
      </c>
    </row>
    <row r="19" spans="1:5">
      <c r="A19">
        <v>14</v>
      </c>
      <c r="B19" s="5">
        <v>0.152</v>
      </c>
      <c r="C19" s="5">
        <v>1.1423000000000001</v>
      </c>
      <c r="D19" s="6">
        <v>94.64</v>
      </c>
      <c r="E19" s="6">
        <v>73.599999999999994</v>
      </c>
    </row>
    <row r="20" spans="1:5">
      <c r="A20">
        <v>15</v>
      </c>
      <c r="B20" s="5">
        <v>0.12859999999999999</v>
      </c>
      <c r="C20" s="5">
        <v>1.1033999999999999</v>
      </c>
      <c r="D20" s="6">
        <v>95.54</v>
      </c>
      <c r="E20" s="6">
        <v>74.900000000000006</v>
      </c>
    </row>
    <row r="21" spans="1:5">
      <c r="A21">
        <v>16</v>
      </c>
      <c r="B21" s="5">
        <v>0.1137</v>
      </c>
      <c r="C21" s="5">
        <v>1.3053999999999999</v>
      </c>
      <c r="D21" s="6">
        <v>96.02</v>
      </c>
      <c r="E21" s="6">
        <v>74.3</v>
      </c>
    </row>
    <row r="22" spans="1:5">
      <c r="A22">
        <v>17</v>
      </c>
      <c r="B22" s="5">
        <v>0.10979999999999999</v>
      </c>
      <c r="C22" s="5">
        <v>1.1932</v>
      </c>
      <c r="D22" s="6">
        <v>96.22</v>
      </c>
      <c r="E22" s="6">
        <v>75.5</v>
      </c>
    </row>
    <row r="23" spans="1:5">
      <c r="A23">
        <v>18</v>
      </c>
      <c r="B23" s="5">
        <v>9.5600000000000004E-2</v>
      </c>
      <c r="C23" s="5">
        <v>1.4016</v>
      </c>
      <c r="D23" s="6">
        <v>96.74</v>
      </c>
      <c r="E23" s="6">
        <v>73.8</v>
      </c>
    </row>
    <row r="24" spans="1:5">
      <c r="A24">
        <v>19</v>
      </c>
      <c r="B24" s="5">
        <v>9.5899999999999999E-2</v>
      </c>
      <c r="C24" s="5">
        <v>1.3666</v>
      </c>
      <c r="D24" s="6">
        <v>96.67</v>
      </c>
      <c r="E24" s="6">
        <v>74.099999999999994</v>
      </c>
    </row>
    <row r="25" spans="1:5">
      <c r="A25">
        <v>20</v>
      </c>
      <c r="B25" s="5">
        <v>8.3799999999999999E-2</v>
      </c>
      <c r="C25" s="5">
        <v>1.5169999999999999</v>
      </c>
      <c r="D25" s="6">
        <v>97.17</v>
      </c>
      <c r="E25" s="6">
        <v>74.599999999999994</v>
      </c>
    </row>
    <row r="26" spans="1:5">
      <c r="A26">
        <v>21</v>
      </c>
      <c r="B26" s="5">
        <v>7.9299999999999995E-2</v>
      </c>
      <c r="C26" s="5">
        <v>1.4346000000000001</v>
      </c>
      <c r="D26" s="6">
        <v>97.37</v>
      </c>
      <c r="E26" s="6">
        <v>75.2</v>
      </c>
    </row>
    <row r="27" spans="1:5">
      <c r="A27">
        <v>22</v>
      </c>
      <c r="B27" s="5">
        <v>8.3099999999999993E-2</v>
      </c>
      <c r="C27" s="5">
        <v>1.4438</v>
      </c>
      <c r="D27" s="6">
        <v>97.12</v>
      </c>
      <c r="E27" s="6">
        <v>73.8</v>
      </c>
    </row>
    <row r="28" spans="1:5">
      <c r="A28">
        <v>23</v>
      </c>
      <c r="B28" s="5">
        <v>8.4500000000000006E-2</v>
      </c>
      <c r="C28" s="5">
        <v>1.4710000000000001</v>
      </c>
      <c r="D28" s="6">
        <v>97.15</v>
      </c>
      <c r="E28" s="6">
        <v>73.8</v>
      </c>
    </row>
    <row r="29" spans="1:5">
      <c r="A29">
        <v>24</v>
      </c>
      <c r="B29" s="5">
        <v>7.8899999999999998E-2</v>
      </c>
      <c r="C29" s="5">
        <v>1.5333000000000001</v>
      </c>
      <c r="D29" s="6">
        <v>97.28</v>
      </c>
      <c r="E29" s="6">
        <v>74</v>
      </c>
    </row>
    <row r="30" spans="1:5">
      <c r="A30">
        <v>25</v>
      </c>
      <c r="B30" s="5">
        <v>7.7499999999999999E-2</v>
      </c>
      <c r="C30" s="5">
        <v>1.4793000000000001</v>
      </c>
      <c r="D30" s="6">
        <v>97.37</v>
      </c>
      <c r="E30" s="6">
        <v>73.7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"/>
  <sheetViews>
    <sheetView workbookViewId="0"/>
  </sheetViews>
  <sheetFormatPr baseColWidth="10" defaultColWidth="8.83203125" defaultRowHeight="15"/>
  <cols>
    <col min="1" max="1" width="10" customWidth="1"/>
    <col min="2" max="5" width="16" customWidth="1"/>
  </cols>
  <sheetData>
    <row r="1" spans="1:5" ht="46.25" customHeight="1">
      <c r="A1" s="15" t="s">
        <v>70</v>
      </c>
      <c r="B1" s="12"/>
      <c r="C1" s="12"/>
      <c r="D1" s="12"/>
      <c r="E1" s="12"/>
    </row>
    <row r="2" spans="1:5">
      <c r="A2" s="7" t="s">
        <v>21</v>
      </c>
      <c r="B2" t="s">
        <v>41</v>
      </c>
      <c r="C2" s="7" t="s">
        <v>24</v>
      </c>
      <c r="D2">
        <v>25</v>
      </c>
    </row>
    <row r="3" spans="1:5" ht="16" customHeight="1">
      <c r="A3" s="7" t="s">
        <v>7</v>
      </c>
      <c r="B3">
        <v>13.77</v>
      </c>
      <c r="C3" s="7" t="s">
        <v>67</v>
      </c>
      <c r="D3" s="8" t="s">
        <v>42</v>
      </c>
    </row>
    <row r="5" spans="1:5">
      <c r="A5" s="1" t="s">
        <v>2</v>
      </c>
      <c r="B5" s="1" t="s">
        <v>17</v>
      </c>
      <c r="C5" s="1" t="s">
        <v>18</v>
      </c>
      <c r="D5" s="1" t="s">
        <v>3</v>
      </c>
      <c r="E5" s="1" t="s">
        <v>4</v>
      </c>
    </row>
    <row r="6" spans="1:5">
      <c r="A6">
        <v>1</v>
      </c>
      <c r="B6" s="5">
        <v>1.3762000000000001</v>
      </c>
      <c r="C6" s="5">
        <v>1.157</v>
      </c>
      <c r="D6" s="6">
        <v>50.48</v>
      </c>
      <c r="E6" s="6">
        <v>59.7</v>
      </c>
    </row>
    <row r="7" spans="1:5">
      <c r="A7">
        <v>2</v>
      </c>
      <c r="B7" s="5">
        <v>0.97829999999999995</v>
      </c>
      <c r="C7" s="5">
        <v>0.88339999999999996</v>
      </c>
      <c r="D7" s="6">
        <v>66.099999999999994</v>
      </c>
      <c r="E7" s="6">
        <v>70.2</v>
      </c>
    </row>
    <row r="8" spans="1:5">
      <c r="A8">
        <v>3</v>
      </c>
      <c r="B8" s="5">
        <v>0.81259999999999999</v>
      </c>
      <c r="C8" s="5">
        <v>0.83730000000000004</v>
      </c>
      <c r="D8" s="6">
        <v>72.150000000000006</v>
      </c>
      <c r="E8" s="6">
        <v>70.099999999999994</v>
      </c>
    </row>
    <row r="9" spans="1:5">
      <c r="A9">
        <v>4</v>
      </c>
      <c r="B9" s="5">
        <v>0.71209999999999996</v>
      </c>
      <c r="C9" s="5">
        <v>0.66169999999999995</v>
      </c>
      <c r="D9" s="6">
        <v>75.599999999999994</v>
      </c>
      <c r="E9" s="6">
        <v>77.900000000000006</v>
      </c>
    </row>
    <row r="10" spans="1:5">
      <c r="A10">
        <v>5</v>
      </c>
      <c r="B10" s="5">
        <v>0.63049999999999995</v>
      </c>
      <c r="C10" s="5">
        <v>0.58850000000000002</v>
      </c>
      <c r="D10" s="6">
        <v>78.650000000000006</v>
      </c>
      <c r="E10" s="6">
        <v>80.3</v>
      </c>
    </row>
    <row r="11" spans="1:5">
      <c r="A11">
        <v>6</v>
      </c>
      <c r="B11" s="5">
        <v>0.56669999999999998</v>
      </c>
      <c r="C11" s="5">
        <v>0.58499999999999996</v>
      </c>
      <c r="D11" s="6">
        <v>80.59</v>
      </c>
      <c r="E11" s="6">
        <v>81</v>
      </c>
    </row>
    <row r="12" spans="1:5">
      <c r="A12">
        <v>7</v>
      </c>
      <c r="B12" s="5">
        <v>0.51500000000000001</v>
      </c>
      <c r="C12" s="5">
        <v>0.58699999999999997</v>
      </c>
      <c r="D12" s="6">
        <v>82.71</v>
      </c>
      <c r="E12" s="6">
        <v>81.400000000000006</v>
      </c>
    </row>
    <row r="13" spans="1:5">
      <c r="A13">
        <v>8</v>
      </c>
      <c r="B13" s="5">
        <v>0.46300000000000002</v>
      </c>
      <c r="C13" s="5">
        <v>0.5625</v>
      </c>
      <c r="D13" s="6">
        <v>84.23</v>
      </c>
      <c r="E13" s="6">
        <v>81.900000000000006</v>
      </c>
    </row>
    <row r="14" spans="1:5">
      <c r="A14">
        <v>9</v>
      </c>
      <c r="B14" s="5">
        <v>0.42559999999999998</v>
      </c>
      <c r="C14" s="5">
        <v>0.54859999999999998</v>
      </c>
      <c r="D14" s="6">
        <v>85.37</v>
      </c>
      <c r="E14" s="6">
        <v>82.6</v>
      </c>
    </row>
    <row r="15" spans="1:5">
      <c r="A15">
        <v>10</v>
      </c>
      <c r="B15" s="5">
        <v>0.38769999999999999</v>
      </c>
      <c r="C15" s="5">
        <v>0.60309999999999997</v>
      </c>
      <c r="D15" s="6">
        <v>86.87</v>
      </c>
      <c r="E15" s="6">
        <v>81.3</v>
      </c>
    </row>
    <row r="16" spans="1:5">
      <c r="A16">
        <v>11</v>
      </c>
      <c r="B16" s="5">
        <v>0.3569</v>
      </c>
      <c r="C16" s="5">
        <v>0.59560000000000002</v>
      </c>
      <c r="D16" s="6">
        <v>87.84</v>
      </c>
      <c r="E16" s="6">
        <v>81.599999999999994</v>
      </c>
    </row>
    <row r="17" spans="1:5">
      <c r="A17">
        <v>12</v>
      </c>
      <c r="B17" s="5">
        <v>0.31809999999999999</v>
      </c>
      <c r="C17" s="5">
        <v>0.53259999999999996</v>
      </c>
      <c r="D17" s="6">
        <v>89.1</v>
      </c>
      <c r="E17" s="6">
        <v>84.2</v>
      </c>
    </row>
    <row r="18" spans="1:5">
      <c r="A18">
        <v>13</v>
      </c>
      <c r="B18" s="5">
        <v>0.29299999999999998</v>
      </c>
      <c r="C18" s="5">
        <v>0.5917</v>
      </c>
      <c r="D18" s="6">
        <v>89.95</v>
      </c>
      <c r="E18" s="6">
        <v>82</v>
      </c>
    </row>
    <row r="19" spans="1:5">
      <c r="A19">
        <v>14</v>
      </c>
      <c r="B19" s="5">
        <v>0.27110000000000001</v>
      </c>
      <c r="C19" s="5">
        <v>0.55449999999999999</v>
      </c>
      <c r="D19" s="6">
        <v>90.81</v>
      </c>
      <c r="E19" s="6">
        <v>83.9</v>
      </c>
    </row>
    <row r="20" spans="1:5">
      <c r="A20">
        <v>15</v>
      </c>
      <c r="B20" s="5">
        <v>0.24679999999999999</v>
      </c>
      <c r="C20" s="5">
        <v>0.55289999999999995</v>
      </c>
      <c r="D20" s="6">
        <v>91.51</v>
      </c>
      <c r="E20" s="6">
        <v>84.7</v>
      </c>
    </row>
    <row r="21" spans="1:5">
      <c r="A21">
        <v>16</v>
      </c>
      <c r="B21" s="5">
        <v>0.23</v>
      </c>
      <c r="C21" s="5">
        <v>0.53779999999999994</v>
      </c>
      <c r="D21" s="6">
        <v>91.97</v>
      </c>
      <c r="E21" s="6">
        <v>83.7</v>
      </c>
    </row>
    <row r="22" spans="1:5">
      <c r="A22">
        <v>17</v>
      </c>
      <c r="B22" s="5">
        <v>0.21079999999999999</v>
      </c>
      <c r="C22" s="5">
        <v>0.58250000000000002</v>
      </c>
      <c r="D22" s="6">
        <v>92.77</v>
      </c>
      <c r="E22" s="6">
        <v>84.3</v>
      </c>
    </row>
    <row r="23" spans="1:5">
      <c r="A23">
        <v>18</v>
      </c>
      <c r="B23" s="5">
        <v>0.19339999999999999</v>
      </c>
      <c r="C23" s="5">
        <v>0.5998</v>
      </c>
      <c r="D23" s="6">
        <v>93.3</v>
      </c>
      <c r="E23" s="6">
        <v>83</v>
      </c>
    </row>
    <row r="24" spans="1:5">
      <c r="A24">
        <v>19</v>
      </c>
      <c r="B24" s="5">
        <v>0.1825</v>
      </c>
      <c r="C24" s="5">
        <v>0.63429999999999997</v>
      </c>
      <c r="D24" s="6">
        <v>93.88</v>
      </c>
      <c r="E24" s="6">
        <v>85.3</v>
      </c>
    </row>
    <row r="25" spans="1:5">
      <c r="A25">
        <v>20</v>
      </c>
      <c r="B25" s="5">
        <v>0.16889999999999999</v>
      </c>
      <c r="C25" s="5">
        <v>0.6179</v>
      </c>
      <c r="D25" s="6">
        <v>94.29</v>
      </c>
      <c r="E25" s="6">
        <v>83.2</v>
      </c>
    </row>
    <row r="26" spans="1:5">
      <c r="A26">
        <v>21</v>
      </c>
      <c r="B26" s="5">
        <v>0.15709999999999999</v>
      </c>
      <c r="C26" s="5">
        <v>0.64470000000000005</v>
      </c>
      <c r="D26" s="6">
        <v>94.58</v>
      </c>
      <c r="E26" s="6">
        <v>83.5</v>
      </c>
    </row>
    <row r="27" spans="1:5">
      <c r="A27">
        <v>22</v>
      </c>
      <c r="B27" s="5">
        <v>0.1522</v>
      </c>
      <c r="C27" s="5">
        <v>0.65139999999999998</v>
      </c>
      <c r="D27" s="6">
        <v>94.72</v>
      </c>
      <c r="E27" s="6">
        <v>83.9</v>
      </c>
    </row>
    <row r="28" spans="1:5">
      <c r="A28">
        <v>23</v>
      </c>
      <c r="B28" s="5">
        <v>0.14149999999999999</v>
      </c>
      <c r="C28" s="5">
        <v>0.62350000000000005</v>
      </c>
      <c r="D28" s="6">
        <v>95.02</v>
      </c>
      <c r="E28" s="6">
        <v>84.5</v>
      </c>
    </row>
    <row r="29" spans="1:5">
      <c r="A29">
        <v>24</v>
      </c>
      <c r="B29" s="5">
        <v>0.1371</v>
      </c>
      <c r="C29" s="5">
        <v>0.62470000000000003</v>
      </c>
      <c r="D29" s="6">
        <v>95.29</v>
      </c>
      <c r="E29" s="6">
        <v>84.2</v>
      </c>
    </row>
    <row r="30" spans="1:5">
      <c r="A30">
        <v>25</v>
      </c>
      <c r="B30" s="5">
        <v>0.13300000000000001</v>
      </c>
      <c r="C30" s="5">
        <v>0.60840000000000005</v>
      </c>
      <c r="D30" s="6">
        <v>95.4</v>
      </c>
      <c r="E30" s="6">
        <v>85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0"/>
  <sheetViews>
    <sheetView workbookViewId="0"/>
  </sheetViews>
  <sheetFormatPr baseColWidth="10" defaultColWidth="8.83203125" defaultRowHeight="15"/>
  <cols>
    <col min="1" max="1" width="10" customWidth="1"/>
    <col min="2" max="5" width="16" customWidth="1"/>
  </cols>
  <sheetData>
    <row r="1" spans="1:5" ht="46.25" customHeight="1">
      <c r="A1" s="15" t="s">
        <v>71</v>
      </c>
      <c r="B1" s="12"/>
      <c r="C1" s="12"/>
      <c r="D1" s="12"/>
      <c r="E1" s="12"/>
    </row>
    <row r="2" spans="1:5">
      <c r="A2" s="7" t="s">
        <v>21</v>
      </c>
      <c r="B2" t="s">
        <v>44</v>
      </c>
      <c r="C2" s="7" t="s">
        <v>24</v>
      </c>
      <c r="D2">
        <v>25</v>
      </c>
    </row>
    <row r="3" spans="1:5" ht="32" customHeight="1">
      <c r="A3" s="7" t="s">
        <v>7</v>
      </c>
      <c r="B3">
        <v>25.98</v>
      </c>
      <c r="C3" s="7" t="s">
        <v>67</v>
      </c>
      <c r="D3" s="8" t="s">
        <v>45</v>
      </c>
    </row>
    <row r="5" spans="1:5">
      <c r="A5" s="1" t="s">
        <v>2</v>
      </c>
      <c r="B5" s="1" t="s">
        <v>17</v>
      </c>
      <c r="C5" s="1" t="s">
        <v>18</v>
      </c>
      <c r="D5" s="1" t="s">
        <v>3</v>
      </c>
      <c r="E5" s="1" t="s">
        <v>4</v>
      </c>
    </row>
    <row r="6" spans="1:5">
      <c r="A6">
        <v>1</v>
      </c>
      <c r="B6" s="5">
        <v>1.1896</v>
      </c>
      <c r="C6" s="5">
        <v>1.0519000000000001</v>
      </c>
      <c r="D6" s="6">
        <v>57.16</v>
      </c>
      <c r="E6" s="6">
        <v>62.3</v>
      </c>
    </row>
    <row r="7" spans="1:5">
      <c r="A7">
        <v>2</v>
      </c>
      <c r="B7" s="5">
        <v>0.79420000000000002</v>
      </c>
      <c r="C7" s="5">
        <v>0.8266</v>
      </c>
      <c r="D7" s="6">
        <v>72.040000000000006</v>
      </c>
      <c r="E7" s="6">
        <v>70.7</v>
      </c>
    </row>
    <row r="8" spans="1:5">
      <c r="A8">
        <v>3</v>
      </c>
      <c r="B8" s="5">
        <v>0.61799999999999999</v>
      </c>
      <c r="C8" s="5">
        <v>0.63170000000000004</v>
      </c>
      <c r="D8" s="6">
        <v>78.38</v>
      </c>
      <c r="E8" s="6">
        <v>76.7</v>
      </c>
    </row>
    <row r="9" spans="1:5">
      <c r="A9">
        <v>4</v>
      </c>
      <c r="B9" s="5">
        <v>0.49669999999999997</v>
      </c>
      <c r="C9" s="5">
        <v>0.65620000000000001</v>
      </c>
      <c r="D9" s="6">
        <v>82.52</v>
      </c>
      <c r="E9" s="6">
        <v>78</v>
      </c>
    </row>
    <row r="10" spans="1:5">
      <c r="A10">
        <v>5</v>
      </c>
      <c r="B10" s="5">
        <v>0.38979999999999998</v>
      </c>
      <c r="C10" s="5">
        <v>0.61860000000000004</v>
      </c>
      <c r="D10" s="6">
        <v>86.44</v>
      </c>
      <c r="E10" s="6">
        <v>79.900000000000006</v>
      </c>
    </row>
    <row r="11" spans="1:5">
      <c r="A11">
        <v>6</v>
      </c>
      <c r="B11" s="5">
        <v>0.30109999999999998</v>
      </c>
      <c r="C11" s="5">
        <v>0.64</v>
      </c>
      <c r="D11" s="6">
        <v>89.48</v>
      </c>
      <c r="E11" s="6">
        <v>80.3</v>
      </c>
    </row>
    <row r="12" spans="1:5">
      <c r="A12">
        <v>7</v>
      </c>
      <c r="B12" s="5">
        <v>0.2233</v>
      </c>
      <c r="C12" s="5">
        <v>0.73460000000000003</v>
      </c>
      <c r="D12" s="6">
        <v>92.15</v>
      </c>
      <c r="E12" s="6">
        <v>79.099999999999994</v>
      </c>
    </row>
    <row r="13" spans="1:5">
      <c r="A13">
        <v>8</v>
      </c>
      <c r="B13" s="5">
        <v>0.1673</v>
      </c>
      <c r="C13" s="5">
        <v>0.72399999999999998</v>
      </c>
      <c r="D13" s="6">
        <v>94.34</v>
      </c>
      <c r="E13" s="6">
        <v>79</v>
      </c>
    </row>
    <row r="14" spans="1:5">
      <c r="A14">
        <v>9</v>
      </c>
      <c r="B14" s="5">
        <v>0.126</v>
      </c>
      <c r="C14" s="5">
        <v>0.73799999999999999</v>
      </c>
      <c r="D14" s="6">
        <v>95.66</v>
      </c>
      <c r="E14" s="6">
        <v>80</v>
      </c>
    </row>
    <row r="15" spans="1:5">
      <c r="A15">
        <v>10</v>
      </c>
      <c r="B15" s="5">
        <v>0.1018</v>
      </c>
      <c r="C15" s="5">
        <v>0.88190000000000002</v>
      </c>
      <c r="D15" s="6">
        <v>96.47</v>
      </c>
      <c r="E15" s="6">
        <v>78.7</v>
      </c>
    </row>
    <row r="16" spans="1:5">
      <c r="A16">
        <v>11</v>
      </c>
      <c r="B16" s="5">
        <v>9.3700000000000006E-2</v>
      </c>
      <c r="C16" s="5">
        <v>0.90920000000000001</v>
      </c>
      <c r="D16" s="6">
        <v>96.76</v>
      </c>
      <c r="E16" s="6">
        <v>78.599999999999994</v>
      </c>
    </row>
    <row r="17" spans="1:5">
      <c r="A17">
        <v>12</v>
      </c>
      <c r="B17" s="5">
        <v>7.3099999999999998E-2</v>
      </c>
      <c r="C17" s="5">
        <v>0.97599999999999998</v>
      </c>
      <c r="D17" s="6">
        <v>97.46</v>
      </c>
      <c r="E17" s="6">
        <v>78.900000000000006</v>
      </c>
    </row>
    <row r="18" spans="1:5">
      <c r="A18">
        <v>13</v>
      </c>
      <c r="B18" s="5">
        <v>6.6600000000000006E-2</v>
      </c>
      <c r="C18" s="5">
        <v>0.88929999999999998</v>
      </c>
      <c r="D18" s="6">
        <v>97.67</v>
      </c>
      <c r="E18" s="6">
        <v>80</v>
      </c>
    </row>
    <row r="19" spans="1:5">
      <c r="A19">
        <v>14</v>
      </c>
      <c r="B19" s="5">
        <v>5.2299999999999999E-2</v>
      </c>
      <c r="C19" s="5">
        <v>0.86550000000000005</v>
      </c>
      <c r="D19" s="6">
        <v>98.2</v>
      </c>
      <c r="E19" s="6">
        <v>80.900000000000006</v>
      </c>
    </row>
    <row r="20" spans="1:5">
      <c r="A20">
        <v>15</v>
      </c>
      <c r="B20" s="5">
        <v>4.8599999999999997E-2</v>
      </c>
      <c r="C20" s="5">
        <v>0.91169999999999995</v>
      </c>
      <c r="D20" s="6">
        <v>98.35</v>
      </c>
      <c r="E20" s="6">
        <v>80.599999999999994</v>
      </c>
    </row>
    <row r="21" spans="1:5">
      <c r="A21">
        <v>16</v>
      </c>
      <c r="B21" s="5">
        <v>5.5100000000000003E-2</v>
      </c>
      <c r="C21" s="5">
        <v>0.93759999999999999</v>
      </c>
      <c r="D21" s="6">
        <v>98.07</v>
      </c>
      <c r="E21" s="6">
        <v>81.3</v>
      </c>
    </row>
    <row r="22" spans="1:5">
      <c r="A22">
        <v>17</v>
      </c>
      <c r="B22" s="5">
        <v>5.0999999999999997E-2</v>
      </c>
      <c r="C22" s="5">
        <v>0.91200000000000003</v>
      </c>
      <c r="D22" s="6">
        <v>98.22</v>
      </c>
      <c r="E22" s="6">
        <v>80.599999999999994</v>
      </c>
    </row>
    <row r="23" spans="1:5">
      <c r="A23">
        <v>18</v>
      </c>
      <c r="B23" s="5">
        <v>3.9100000000000003E-2</v>
      </c>
      <c r="C23" s="5">
        <v>1.0484</v>
      </c>
      <c r="D23" s="6">
        <v>98.62</v>
      </c>
      <c r="E23" s="6">
        <v>79.7</v>
      </c>
    </row>
    <row r="24" spans="1:5">
      <c r="A24">
        <v>19</v>
      </c>
      <c r="B24" s="5">
        <v>4.1300000000000003E-2</v>
      </c>
      <c r="C24" s="5">
        <v>0.98350000000000004</v>
      </c>
      <c r="D24" s="6">
        <v>98.62</v>
      </c>
      <c r="E24" s="6">
        <v>80.8</v>
      </c>
    </row>
    <row r="25" spans="1:5">
      <c r="A25">
        <v>20</v>
      </c>
      <c r="B25" s="5">
        <v>4.0500000000000001E-2</v>
      </c>
      <c r="C25" s="5">
        <v>0.92710000000000004</v>
      </c>
      <c r="D25" s="6">
        <v>98.61</v>
      </c>
      <c r="E25" s="6">
        <v>81.599999999999994</v>
      </c>
    </row>
    <row r="26" spans="1:5">
      <c r="A26">
        <v>21</v>
      </c>
      <c r="B26" s="5">
        <v>4.2000000000000003E-2</v>
      </c>
      <c r="C26" s="5">
        <v>0.96099999999999997</v>
      </c>
      <c r="D26" s="6">
        <v>98.52</v>
      </c>
      <c r="E26" s="6">
        <v>81.7</v>
      </c>
    </row>
    <row r="27" spans="1:5">
      <c r="A27">
        <v>22</v>
      </c>
      <c r="B27" s="5">
        <v>2.6200000000000001E-2</v>
      </c>
      <c r="C27" s="5">
        <v>0.94689999999999996</v>
      </c>
      <c r="D27" s="6">
        <v>99.12</v>
      </c>
      <c r="E27" s="6">
        <v>80.8</v>
      </c>
    </row>
    <row r="28" spans="1:5">
      <c r="A28">
        <v>23</v>
      </c>
      <c r="B28" s="5">
        <v>3.8800000000000001E-2</v>
      </c>
      <c r="C28" s="5">
        <v>0.99360000000000004</v>
      </c>
      <c r="D28" s="6">
        <v>98.64</v>
      </c>
      <c r="E28" s="6">
        <v>82.9</v>
      </c>
    </row>
    <row r="29" spans="1:5">
      <c r="A29">
        <v>24</v>
      </c>
      <c r="B29" s="5">
        <v>3.2599999999999997E-2</v>
      </c>
      <c r="C29" s="5">
        <v>0.94179999999999997</v>
      </c>
      <c r="D29" s="6">
        <v>98.86</v>
      </c>
      <c r="E29" s="6">
        <v>82.2</v>
      </c>
    </row>
    <row r="30" spans="1:5">
      <c r="A30">
        <v>25</v>
      </c>
      <c r="B30" s="5">
        <v>2.9700000000000001E-2</v>
      </c>
      <c r="C30" s="5">
        <v>1.0390999999999999</v>
      </c>
      <c r="D30" s="6">
        <v>98.98</v>
      </c>
      <c r="E30" s="6">
        <v>80.900000000000006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0"/>
  <sheetViews>
    <sheetView workbookViewId="0"/>
  </sheetViews>
  <sheetFormatPr baseColWidth="10" defaultColWidth="8.83203125" defaultRowHeight="15"/>
  <cols>
    <col min="1" max="1" width="10" customWidth="1"/>
    <col min="2" max="5" width="16" customWidth="1"/>
  </cols>
  <sheetData>
    <row r="1" spans="1:5" ht="46.25" customHeight="1">
      <c r="A1" s="15" t="s">
        <v>72</v>
      </c>
      <c r="B1" s="12"/>
      <c r="C1" s="12"/>
      <c r="D1" s="12"/>
      <c r="E1" s="12"/>
    </row>
    <row r="2" spans="1:5">
      <c r="A2" s="7" t="s">
        <v>21</v>
      </c>
      <c r="B2" t="s">
        <v>47</v>
      </c>
      <c r="C2" s="7" t="s">
        <v>24</v>
      </c>
      <c r="D2">
        <v>25</v>
      </c>
    </row>
    <row r="3" spans="1:5" ht="48" customHeight="1">
      <c r="A3" s="7" t="s">
        <v>7</v>
      </c>
      <c r="B3">
        <v>36.08</v>
      </c>
      <c r="C3" s="7" t="s">
        <v>67</v>
      </c>
      <c r="D3" s="8" t="s">
        <v>48</v>
      </c>
    </row>
    <row r="5" spans="1:5">
      <c r="A5" s="1" t="s">
        <v>2</v>
      </c>
      <c r="B5" s="1" t="s">
        <v>17</v>
      </c>
      <c r="C5" s="1" t="s">
        <v>18</v>
      </c>
      <c r="D5" s="1" t="s">
        <v>3</v>
      </c>
      <c r="E5" s="1" t="s">
        <v>4</v>
      </c>
    </row>
    <row r="6" spans="1:5">
      <c r="A6">
        <v>1</v>
      </c>
      <c r="B6" s="5">
        <v>1.3491</v>
      </c>
      <c r="C6" s="5">
        <v>1.1049</v>
      </c>
      <c r="D6" s="6">
        <v>51.01</v>
      </c>
      <c r="E6" s="6">
        <v>59.4</v>
      </c>
    </row>
    <row r="7" spans="1:5">
      <c r="A7">
        <v>2</v>
      </c>
      <c r="B7" s="5">
        <v>0.94259999999999999</v>
      </c>
      <c r="C7" s="5">
        <v>1.2051000000000001</v>
      </c>
      <c r="D7" s="6">
        <v>66.510000000000005</v>
      </c>
      <c r="E7" s="6">
        <v>60.5</v>
      </c>
    </row>
    <row r="8" spans="1:5">
      <c r="A8">
        <v>3</v>
      </c>
      <c r="B8" s="5">
        <v>0.79039999999999999</v>
      </c>
      <c r="C8" s="5">
        <v>0.80369999999999997</v>
      </c>
      <c r="D8" s="6">
        <v>72.03</v>
      </c>
      <c r="E8" s="6">
        <v>73.2</v>
      </c>
    </row>
    <row r="9" spans="1:5">
      <c r="A9">
        <v>4</v>
      </c>
      <c r="B9" s="5">
        <v>0.68710000000000004</v>
      </c>
      <c r="C9" s="5">
        <v>0.64639999999999997</v>
      </c>
      <c r="D9" s="6">
        <v>76.03</v>
      </c>
      <c r="E9" s="6">
        <v>78.5</v>
      </c>
    </row>
    <row r="10" spans="1:5">
      <c r="A10">
        <v>5</v>
      </c>
      <c r="B10" s="5">
        <v>0.62470000000000003</v>
      </c>
      <c r="C10" s="5">
        <v>0.61009999999999998</v>
      </c>
      <c r="D10" s="6">
        <v>78.22</v>
      </c>
      <c r="E10" s="6">
        <v>81.2</v>
      </c>
    </row>
    <row r="11" spans="1:5">
      <c r="A11">
        <v>6</v>
      </c>
      <c r="B11" s="5">
        <v>0.57879999999999998</v>
      </c>
      <c r="C11" s="5">
        <v>0.57869999999999999</v>
      </c>
      <c r="D11" s="6">
        <v>79.81</v>
      </c>
      <c r="E11" s="6">
        <v>81.599999999999994</v>
      </c>
    </row>
    <row r="12" spans="1:5">
      <c r="A12">
        <v>7</v>
      </c>
      <c r="B12" s="5">
        <v>0.54059999999999997</v>
      </c>
      <c r="C12" s="5">
        <v>0.51890000000000003</v>
      </c>
      <c r="D12" s="6">
        <v>81.260000000000005</v>
      </c>
      <c r="E12" s="6">
        <v>82.5</v>
      </c>
    </row>
    <row r="13" spans="1:5">
      <c r="A13">
        <v>8</v>
      </c>
      <c r="B13" s="5">
        <v>0.50480000000000003</v>
      </c>
      <c r="C13" s="5">
        <v>0.54239999999999999</v>
      </c>
      <c r="D13" s="6">
        <v>82.6</v>
      </c>
      <c r="E13" s="6">
        <v>82.4</v>
      </c>
    </row>
    <row r="14" spans="1:5">
      <c r="A14">
        <v>9</v>
      </c>
      <c r="B14" s="5">
        <v>0.4738</v>
      </c>
      <c r="C14" s="5">
        <v>0.56640000000000001</v>
      </c>
      <c r="D14" s="6">
        <v>83.67</v>
      </c>
      <c r="E14" s="6">
        <v>80.900000000000006</v>
      </c>
    </row>
    <row r="15" spans="1:5">
      <c r="A15">
        <v>10</v>
      </c>
      <c r="B15" s="5">
        <v>0.4506</v>
      </c>
      <c r="C15" s="5">
        <v>0.50970000000000004</v>
      </c>
      <c r="D15" s="6">
        <v>84.31</v>
      </c>
      <c r="E15" s="6">
        <v>83.1</v>
      </c>
    </row>
    <row r="16" spans="1:5">
      <c r="A16">
        <v>11</v>
      </c>
      <c r="B16" s="5">
        <v>0.43409999999999999</v>
      </c>
      <c r="C16" s="5">
        <v>0.45519999999999999</v>
      </c>
      <c r="D16" s="6">
        <v>84.93</v>
      </c>
      <c r="E16" s="6">
        <v>84.9</v>
      </c>
    </row>
    <row r="17" spans="1:5">
      <c r="A17">
        <v>12</v>
      </c>
      <c r="B17" s="5">
        <v>0.40920000000000001</v>
      </c>
      <c r="C17" s="5">
        <v>0.45679999999999998</v>
      </c>
      <c r="D17" s="6">
        <v>85.61</v>
      </c>
      <c r="E17" s="6">
        <v>84.5</v>
      </c>
    </row>
    <row r="18" spans="1:5">
      <c r="A18">
        <v>13</v>
      </c>
      <c r="B18" s="5">
        <v>0.38900000000000001</v>
      </c>
      <c r="C18" s="5">
        <v>0.45390000000000003</v>
      </c>
      <c r="D18" s="6">
        <v>86.36</v>
      </c>
      <c r="E18" s="6">
        <v>86</v>
      </c>
    </row>
    <row r="19" spans="1:5">
      <c r="A19">
        <v>14</v>
      </c>
      <c r="B19" s="5">
        <v>0.36940000000000001</v>
      </c>
      <c r="C19" s="5">
        <v>0.46229999999999999</v>
      </c>
      <c r="D19" s="6">
        <v>87.02</v>
      </c>
      <c r="E19" s="6">
        <v>84.1</v>
      </c>
    </row>
    <row r="20" spans="1:5">
      <c r="A20">
        <v>15</v>
      </c>
      <c r="B20" s="5">
        <v>0.35959999999999998</v>
      </c>
      <c r="C20" s="5">
        <v>0.41060000000000002</v>
      </c>
      <c r="D20" s="6">
        <v>87.33</v>
      </c>
      <c r="E20" s="6">
        <v>87.1</v>
      </c>
    </row>
    <row r="21" spans="1:5">
      <c r="A21">
        <v>16</v>
      </c>
      <c r="B21" s="5">
        <v>0.33829999999999999</v>
      </c>
      <c r="C21" s="5">
        <v>0.37869999999999998</v>
      </c>
      <c r="D21" s="6">
        <v>88.29</v>
      </c>
      <c r="E21" s="6">
        <v>87.5</v>
      </c>
    </row>
    <row r="22" spans="1:5">
      <c r="A22">
        <v>17</v>
      </c>
      <c r="B22" s="5">
        <v>0.32529999999999998</v>
      </c>
      <c r="C22" s="5">
        <v>0.42599999999999999</v>
      </c>
      <c r="D22" s="6">
        <v>88.67</v>
      </c>
      <c r="E22" s="6">
        <v>85.3</v>
      </c>
    </row>
    <row r="23" spans="1:5">
      <c r="A23">
        <v>18</v>
      </c>
      <c r="B23" s="5">
        <v>0.31230000000000002</v>
      </c>
      <c r="C23" s="5">
        <v>0.38469999999999999</v>
      </c>
      <c r="D23" s="6">
        <v>89.01</v>
      </c>
      <c r="E23" s="6">
        <v>86.7</v>
      </c>
    </row>
    <row r="24" spans="1:5">
      <c r="A24">
        <v>19</v>
      </c>
      <c r="B24" s="5">
        <v>0.29670000000000002</v>
      </c>
      <c r="C24" s="5">
        <v>0.38990000000000002</v>
      </c>
      <c r="D24" s="6">
        <v>89.54</v>
      </c>
      <c r="E24" s="6">
        <v>87.4</v>
      </c>
    </row>
    <row r="25" spans="1:5">
      <c r="A25">
        <v>20</v>
      </c>
      <c r="B25" s="5">
        <v>0.28560000000000002</v>
      </c>
      <c r="C25" s="5">
        <v>0.39300000000000002</v>
      </c>
      <c r="D25" s="6">
        <v>90.01</v>
      </c>
      <c r="E25" s="6">
        <v>87.3</v>
      </c>
    </row>
    <row r="26" spans="1:5">
      <c r="A26">
        <v>21</v>
      </c>
      <c r="B26" s="5">
        <v>0.28129999999999999</v>
      </c>
      <c r="C26" s="5">
        <v>0.3614</v>
      </c>
      <c r="D26" s="6">
        <v>90.16</v>
      </c>
      <c r="E26" s="6">
        <v>88.3</v>
      </c>
    </row>
    <row r="27" spans="1:5">
      <c r="A27">
        <v>22</v>
      </c>
      <c r="B27" s="5">
        <v>0.26419999999999999</v>
      </c>
      <c r="C27" s="5">
        <v>0.39889999999999998</v>
      </c>
      <c r="D27" s="6">
        <v>90.57</v>
      </c>
      <c r="E27" s="6">
        <v>86.6</v>
      </c>
    </row>
    <row r="28" spans="1:5">
      <c r="A28">
        <v>23</v>
      </c>
      <c r="B28" s="5">
        <v>0.25890000000000002</v>
      </c>
      <c r="C28" s="5">
        <v>0.3765</v>
      </c>
      <c r="D28" s="6">
        <v>90.89</v>
      </c>
      <c r="E28" s="6">
        <v>88</v>
      </c>
    </row>
    <row r="29" spans="1:5">
      <c r="A29">
        <v>24</v>
      </c>
      <c r="B29" s="5">
        <v>0.248</v>
      </c>
      <c r="C29" s="5">
        <v>0.36680000000000001</v>
      </c>
      <c r="D29" s="6">
        <v>91.27</v>
      </c>
      <c r="E29" s="6">
        <v>87.8</v>
      </c>
    </row>
    <row r="30" spans="1:5">
      <c r="A30">
        <v>25</v>
      </c>
      <c r="B30" s="5">
        <v>0.23530000000000001</v>
      </c>
      <c r="C30" s="5">
        <v>0.39560000000000001</v>
      </c>
      <c r="D30" s="6">
        <v>91.73</v>
      </c>
      <c r="E30" s="6">
        <v>88.4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5"/>
  <sheetViews>
    <sheetView workbookViewId="0"/>
  </sheetViews>
  <sheetFormatPr baseColWidth="10" defaultColWidth="8.83203125" defaultRowHeight="15"/>
  <cols>
    <col min="1" max="1" width="10" customWidth="1"/>
    <col min="2" max="5" width="16" customWidth="1"/>
  </cols>
  <sheetData>
    <row r="1" spans="1:5" ht="46.25" customHeight="1">
      <c r="A1" s="15" t="s">
        <v>73</v>
      </c>
      <c r="B1" s="12"/>
      <c r="C1" s="12"/>
      <c r="D1" s="12"/>
      <c r="E1" s="12"/>
    </row>
    <row r="2" spans="1:5">
      <c r="A2" s="7" t="s">
        <v>21</v>
      </c>
      <c r="B2" t="s">
        <v>50</v>
      </c>
      <c r="C2" s="7" t="s">
        <v>24</v>
      </c>
      <c r="D2">
        <v>50</v>
      </c>
    </row>
    <row r="3" spans="1:5" ht="80" customHeight="1">
      <c r="A3" s="7" t="s">
        <v>7</v>
      </c>
      <c r="B3">
        <v>84.13</v>
      </c>
      <c r="C3" s="7" t="s">
        <v>67</v>
      </c>
      <c r="D3" s="8" t="s">
        <v>51</v>
      </c>
    </row>
    <row r="5" spans="1:5">
      <c r="A5" s="1" t="s">
        <v>2</v>
      </c>
      <c r="B5" s="1" t="s">
        <v>17</v>
      </c>
      <c r="C5" s="1" t="s">
        <v>18</v>
      </c>
      <c r="D5" s="1" t="s">
        <v>3</v>
      </c>
      <c r="E5" s="1" t="s">
        <v>4</v>
      </c>
    </row>
    <row r="6" spans="1:5">
      <c r="A6">
        <v>1</v>
      </c>
      <c r="B6" s="5">
        <v>1.5426</v>
      </c>
      <c r="C6" s="5">
        <v>1.306</v>
      </c>
      <c r="D6" s="6">
        <v>43.57</v>
      </c>
      <c r="E6" s="6">
        <v>55.8</v>
      </c>
    </row>
    <row r="7" spans="1:5">
      <c r="A7">
        <v>2</v>
      </c>
      <c r="B7" s="5">
        <v>1.1676</v>
      </c>
      <c r="C7" s="5">
        <v>0.99280000000000002</v>
      </c>
      <c r="D7" s="6">
        <v>58.6</v>
      </c>
      <c r="E7" s="6">
        <v>64.5</v>
      </c>
    </row>
    <row r="8" spans="1:5">
      <c r="A8">
        <v>3</v>
      </c>
      <c r="B8" s="5">
        <v>0.99039999999999995</v>
      </c>
      <c r="C8" s="5">
        <v>0.78290000000000004</v>
      </c>
      <c r="D8" s="6">
        <v>65.55</v>
      </c>
      <c r="E8" s="6">
        <v>73.2</v>
      </c>
    </row>
    <row r="9" spans="1:5">
      <c r="A9">
        <v>4</v>
      </c>
      <c r="B9" s="5">
        <v>0.88449999999999995</v>
      </c>
      <c r="C9" s="5">
        <v>0.7006</v>
      </c>
      <c r="D9" s="6">
        <v>69.650000000000006</v>
      </c>
      <c r="E9" s="6">
        <v>74.8</v>
      </c>
    </row>
    <row r="10" spans="1:5">
      <c r="A10">
        <v>5</v>
      </c>
      <c r="B10" s="5">
        <v>0.81359999999999999</v>
      </c>
      <c r="C10" s="5">
        <v>0.67510000000000003</v>
      </c>
      <c r="D10" s="6">
        <v>72.28</v>
      </c>
      <c r="E10" s="6">
        <v>76.8</v>
      </c>
    </row>
    <row r="11" spans="1:5">
      <c r="A11">
        <v>6</v>
      </c>
      <c r="B11" s="5">
        <v>0.75090000000000001</v>
      </c>
      <c r="C11" s="5">
        <v>0.59919999999999995</v>
      </c>
      <c r="D11" s="6">
        <v>74.38</v>
      </c>
      <c r="E11" s="6">
        <v>79</v>
      </c>
    </row>
    <row r="12" spans="1:5">
      <c r="A12">
        <v>7</v>
      </c>
      <c r="B12" s="5">
        <v>0.7137</v>
      </c>
      <c r="C12" s="5">
        <v>0.63019999999999998</v>
      </c>
      <c r="D12" s="6">
        <v>75.790000000000006</v>
      </c>
      <c r="E12" s="6">
        <v>79.599999999999994</v>
      </c>
    </row>
    <row r="13" spans="1:5">
      <c r="A13">
        <v>8</v>
      </c>
      <c r="B13" s="5">
        <v>0.68179999999999996</v>
      </c>
      <c r="C13" s="5">
        <v>0.53449999999999998</v>
      </c>
      <c r="D13" s="6">
        <v>76.84</v>
      </c>
      <c r="E13" s="6">
        <v>81.2</v>
      </c>
    </row>
    <row r="14" spans="1:5">
      <c r="A14">
        <v>9</v>
      </c>
      <c r="B14" s="5">
        <v>0.63880000000000003</v>
      </c>
      <c r="C14" s="5">
        <v>0.52690000000000003</v>
      </c>
      <c r="D14" s="6">
        <v>78.27</v>
      </c>
      <c r="E14" s="6">
        <v>81.099999999999994</v>
      </c>
    </row>
    <row r="15" spans="1:5">
      <c r="A15">
        <v>10</v>
      </c>
      <c r="B15" s="5">
        <v>0.62119999999999997</v>
      </c>
      <c r="C15" s="5">
        <v>0.52049999999999996</v>
      </c>
      <c r="D15" s="6">
        <v>78.709999999999994</v>
      </c>
      <c r="E15" s="6">
        <v>82.2</v>
      </c>
    </row>
    <row r="16" spans="1:5">
      <c r="A16">
        <v>11</v>
      </c>
      <c r="B16" s="5">
        <v>0.59709999999999996</v>
      </c>
      <c r="C16" s="5">
        <v>0.53359999999999996</v>
      </c>
      <c r="D16" s="6">
        <v>79.680000000000007</v>
      </c>
      <c r="E16" s="6">
        <v>82.2</v>
      </c>
    </row>
    <row r="17" spans="1:5">
      <c r="A17">
        <v>12</v>
      </c>
      <c r="B17" s="5">
        <v>0.57630000000000003</v>
      </c>
      <c r="C17" s="5">
        <v>0.47420000000000001</v>
      </c>
      <c r="D17" s="6">
        <v>80.55</v>
      </c>
      <c r="E17" s="6">
        <v>83.5</v>
      </c>
    </row>
    <row r="18" spans="1:5">
      <c r="A18">
        <v>13</v>
      </c>
      <c r="B18" s="5">
        <v>0.55649999999999999</v>
      </c>
      <c r="C18" s="5">
        <v>0.45169999999999999</v>
      </c>
      <c r="D18" s="6">
        <v>81.13</v>
      </c>
      <c r="E18" s="6">
        <v>85.3</v>
      </c>
    </row>
    <row r="19" spans="1:5">
      <c r="A19">
        <v>14</v>
      </c>
      <c r="B19" s="5">
        <v>0.53810000000000002</v>
      </c>
      <c r="C19" s="5">
        <v>0.48830000000000001</v>
      </c>
      <c r="D19" s="6">
        <v>81.62</v>
      </c>
      <c r="E19" s="6">
        <v>84.1</v>
      </c>
    </row>
    <row r="20" spans="1:5">
      <c r="A20">
        <v>15</v>
      </c>
      <c r="B20" s="5">
        <v>0.5242</v>
      </c>
      <c r="C20" s="5">
        <v>0.4446</v>
      </c>
      <c r="D20" s="6">
        <v>82.17</v>
      </c>
      <c r="E20" s="6">
        <v>85</v>
      </c>
    </row>
    <row r="21" spans="1:5">
      <c r="A21">
        <v>16</v>
      </c>
      <c r="B21" s="5">
        <v>0.50900000000000001</v>
      </c>
      <c r="C21" s="5">
        <v>0.41870000000000002</v>
      </c>
      <c r="D21" s="6">
        <v>82.89</v>
      </c>
      <c r="E21" s="6">
        <v>84.9</v>
      </c>
    </row>
    <row r="22" spans="1:5">
      <c r="A22">
        <v>17</v>
      </c>
      <c r="B22" s="5">
        <v>0.49569999999999997</v>
      </c>
      <c r="C22" s="5">
        <v>0.41720000000000002</v>
      </c>
      <c r="D22" s="6">
        <v>83.24</v>
      </c>
      <c r="E22" s="6">
        <v>85.8</v>
      </c>
    </row>
    <row r="23" spans="1:5">
      <c r="A23">
        <v>18</v>
      </c>
      <c r="B23" s="5">
        <v>0.48089999999999999</v>
      </c>
      <c r="C23" s="5">
        <v>0.4325</v>
      </c>
      <c r="D23" s="6">
        <v>83.77</v>
      </c>
      <c r="E23" s="6">
        <v>85.1</v>
      </c>
    </row>
    <row r="24" spans="1:5">
      <c r="A24">
        <v>19</v>
      </c>
      <c r="B24" s="5">
        <v>0.47070000000000001</v>
      </c>
      <c r="C24" s="5">
        <v>0.39179999999999998</v>
      </c>
      <c r="D24" s="6">
        <v>84.13</v>
      </c>
      <c r="E24" s="6">
        <v>86.6</v>
      </c>
    </row>
    <row r="25" spans="1:5">
      <c r="A25">
        <v>20</v>
      </c>
      <c r="B25" s="5">
        <v>0.45219999999999999</v>
      </c>
      <c r="C25" s="5">
        <v>0.39460000000000001</v>
      </c>
      <c r="D25" s="6">
        <v>84.75</v>
      </c>
      <c r="E25" s="6">
        <v>86.6</v>
      </c>
    </row>
    <row r="26" spans="1:5">
      <c r="A26">
        <v>21</v>
      </c>
      <c r="B26" s="5">
        <v>0.4451</v>
      </c>
      <c r="C26" s="5">
        <v>0.42709999999999998</v>
      </c>
      <c r="D26" s="6">
        <v>84.9</v>
      </c>
      <c r="E26" s="6">
        <v>85.3</v>
      </c>
    </row>
    <row r="27" spans="1:5">
      <c r="A27">
        <v>22</v>
      </c>
      <c r="B27" s="5">
        <v>0.43469999999999998</v>
      </c>
      <c r="C27" s="5">
        <v>0.37809999999999999</v>
      </c>
      <c r="D27" s="6">
        <v>85.13</v>
      </c>
      <c r="E27" s="6">
        <v>86.8</v>
      </c>
    </row>
    <row r="28" spans="1:5">
      <c r="A28">
        <v>23</v>
      </c>
      <c r="B28" s="5">
        <v>0.42680000000000001</v>
      </c>
      <c r="C28" s="5">
        <v>0.39150000000000001</v>
      </c>
      <c r="D28" s="6">
        <v>85.47</v>
      </c>
      <c r="E28" s="6">
        <v>85.3</v>
      </c>
    </row>
    <row r="29" spans="1:5">
      <c r="A29">
        <v>24</v>
      </c>
      <c r="B29" s="5">
        <v>0.41270000000000001</v>
      </c>
      <c r="C29" s="5">
        <v>0.39169999999999999</v>
      </c>
      <c r="D29" s="6">
        <v>85.83</v>
      </c>
      <c r="E29" s="6">
        <v>86.6</v>
      </c>
    </row>
    <row r="30" spans="1:5">
      <c r="A30">
        <v>25</v>
      </c>
      <c r="B30" s="5">
        <v>0.40789999999999998</v>
      </c>
      <c r="C30" s="5">
        <v>0.39269999999999999</v>
      </c>
      <c r="D30" s="6">
        <v>86.19</v>
      </c>
      <c r="E30" s="6">
        <v>85.9</v>
      </c>
    </row>
    <row r="31" spans="1:5">
      <c r="A31">
        <v>26</v>
      </c>
      <c r="B31" s="5">
        <v>0.40350000000000003</v>
      </c>
      <c r="C31" s="5">
        <v>0.38350000000000001</v>
      </c>
      <c r="D31" s="6">
        <v>86.45</v>
      </c>
      <c r="E31" s="6">
        <v>86.5</v>
      </c>
    </row>
    <row r="32" spans="1:5">
      <c r="A32">
        <v>27</v>
      </c>
      <c r="B32" s="5">
        <v>0.3926</v>
      </c>
      <c r="C32" s="5">
        <v>0.36399999999999999</v>
      </c>
      <c r="D32" s="6">
        <v>86.73</v>
      </c>
      <c r="E32" s="6">
        <v>86.5</v>
      </c>
    </row>
    <row r="33" spans="1:5">
      <c r="A33">
        <v>28</v>
      </c>
      <c r="B33" s="5">
        <v>0.39219999999999999</v>
      </c>
      <c r="C33" s="5">
        <v>0.38819999999999999</v>
      </c>
      <c r="D33" s="6">
        <v>86.65</v>
      </c>
      <c r="E33" s="6">
        <v>87.8</v>
      </c>
    </row>
    <row r="34" spans="1:5">
      <c r="A34">
        <v>29</v>
      </c>
      <c r="B34" s="5">
        <v>0.3765</v>
      </c>
      <c r="C34" s="5">
        <v>0.39029999999999998</v>
      </c>
      <c r="D34" s="6">
        <v>87.15</v>
      </c>
      <c r="E34" s="6">
        <v>86.7</v>
      </c>
    </row>
    <row r="35" spans="1:5">
      <c r="A35">
        <v>30</v>
      </c>
      <c r="B35" s="5">
        <v>0.37619999999999998</v>
      </c>
      <c r="C35" s="5">
        <v>0.3548</v>
      </c>
      <c r="D35" s="6">
        <v>87.13</v>
      </c>
      <c r="E35" s="6">
        <v>88</v>
      </c>
    </row>
    <row r="36" spans="1:5">
      <c r="A36">
        <v>31</v>
      </c>
      <c r="B36" s="5">
        <v>0.3634</v>
      </c>
      <c r="C36" s="5">
        <v>0.35210000000000002</v>
      </c>
      <c r="D36" s="6">
        <v>87.59</v>
      </c>
      <c r="E36" s="6">
        <v>87.5</v>
      </c>
    </row>
    <row r="37" spans="1:5">
      <c r="A37">
        <v>32</v>
      </c>
      <c r="B37" s="5">
        <v>0.36159999999999998</v>
      </c>
      <c r="C37" s="5">
        <v>0.36459999999999998</v>
      </c>
      <c r="D37" s="6">
        <v>87.62</v>
      </c>
      <c r="E37" s="6">
        <v>87.4</v>
      </c>
    </row>
    <row r="38" spans="1:5">
      <c r="A38">
        <v>33</v>
      </c>
      <c r="B38" s="5">
        <v>0.35249999999999998</v>
      </c>
      <c r="C38" s="5">
        <v>0.37669999999999998</v>
      </c>
      <c r="D38" s="6">
        <v>88.03</v>
      </c>
      <c r="E38" s="6">
        <v>87.2</v>
      </c>
    </row>
    <row r="39" spans="1:5">
      <c r="A39">
        <v>34</v>
      </c>
      <c r="B39" s="5">
        <v>0.34710000000000002</v>
      </c>
      <c r="C39" s="5">
        <v>0.36580000000000001</v>
      </c>
      <c r="D39" s="6">
        <v>88.16</v>
      </c>
      <c r="E39" s="6">
        <v>88.1</v>
      </c>
    </row>
    <row r="40" spans="1:5">
      <c r="A40">
        <v>35</v>
      </c>
      <c r="B40" s="5">
        <v>0.33860000000000001</v>
      </c>
      <c r="C40" s="5">
        <v>0.37630000000000002</v>
      </c>
      <c r="D40" s="6">
        <v>88.46</v>
      </c>
      <c r="E40" s="6">
        <v>87.9</v>
      </c>
    </row>
    <row r="41" spans="1:5">
      <c r="A41">
        <v>36</v>
      </c>
      <c r="B41" s="5">
        <v>0.33789999999999998</v>
      </c>
      <c r="C41" s="5">
        <v>0.36309999999999998</v>
      </c>
      <c r="D41" s="6">
        <v>88.51</v>
      </c>
      <c r="E41" s="6">
        <v>87.5</v>
      </c>
    </row>
    <row r="42" spans="1:5">
      <c r="A42">
        <v>37</v>
      </c>
      <c r="B42" s="5">
        <v>0.33</v>
      </c>
      <c r="C42" s="5">
        <v>0.33560000000000001</v>
      </c>
      <c r="D42" s="6">
        <v>88.79</v>
      </c>
      <c r="E42" s="6">
        <v>88.4</v>
      </c>
    </row>
    <row r="43" spans="1:5">
      <c r="A43">
        <v>38</v>
      </c>
      <c r="B43" s="5">
        <v>0.32829999999999998</v>
      </c>
      <c r="C43" s="5">
        <v>0.38290000000000002</v>
      </c>
      <c r="D43" s="6">
        <v>88.74</v>
      </c>
      <c r="E43" s="6">
        <v>87.8</v>
      </c>
    </row>
    <row r="44" spans="1:5">
      <c r="A44">
        <v>39</v>
      </c>
      <c r="B44" s="5">
        <v>0.3216</v>
      </c>
      <c r="C44" s="5">
        <v>0.40689999999999998</v>
      </c>
      <c r="D44" s="6">
        <v>88.97</v>
      </c>
      <c r="E44" s="6">
        <v>86.9</v>
      </c>
    </row>
    <row r="45" spans="1:5">
      <c r="A45">
        <v>40</v>
      </c>
      <c r="B45" s="5">
        <v>0.31879999999999997</v>
      </c>
      <c r="C45" s="5">
        <v>0.35749999999999998</v>
      </c>
      <c r="D45" s="6">
        <v>89.16</v>
      </c>
      <c r="E45" s="6">
        <v>87.4</v>
      </c>
    </row>
    <row r="46" spans="1:5">
      <c r="A46">
        <v>41</v>
      </c>
      <c r="B46" s="5">
        <v>0.3125</v>
      </c>
      <c r="C46" s="5">
        <v>0.35389999999999999</v>
      </c>
      <c r="D46" s="6">
        <v>89.24</v>
      </c>
      <c r="E46" s="6">
        <v>89.4</v>
      </c>
    </row>
    <row r="47" spans="1:5">
      <c r="A47">
        <v>42</v>
      </c>
      <c r="B47" s="5">
        <v>0.30499999999999999</v>
      </c>
      <c r="C47" s="5">
        <v>0.34699999999999998</v>
      </c>
      <c r="D47" s="6">
        <v>89.68</v>
      </c>
      <c r="E47" s="6">
        <v>88.8</v>
      </c>
    </row>
    <row r="48" spans="1:5">
      <c r="A48">
        <v>43</v>
      </c>
      <c r="B48" s="5">
        <v>0.30320000000000003</v>
      </c>
      <c r="C48" s="5">
        <v>0.36109999999999998</v>
      </c>
      <c r="D48" s="6">
        <v>89.67</v>
      </c>
      <c r="E48" s="6">
        <v>87.8</v>
      </c>
    </row>
    <row r="49" spans="1:5">
      <c r="A49">
        <v>44</v>
      </c>
      <c r="B49" s="5">
        <v>0.29609999999999997</v>
      </c>
      <c r="C49" s="5">
        <v>0.33629999999999999</v>
      </c>
      <c r="D49" s="6">
        <v>89.85</v>
      </c>
      <c r="E49" s="6">
        <v>89.2</v>
      </c>
    </row>
    <row r="50" spans="1:5">
      <c r="A50">
        <v>45</v>
      </c>
      <c r="B50" s="5">
        <v>0.30009999999999998</v>
      </c>
      <c r="C50" s="5">
        <v>0.34399999999999997</v>
      </c>
      <c r="D50" s="6">
        <v>89.68</v>
      </c>
      <c r="E50" s="6">
        <v>88</v>
      </c>
    </row>
    <row r="51" spans="1:5">
      <c r="A51">
        <v>46</v>
      </c>
      <c r="B51" s="5">
        <v>0.2878</v>
      </c>
      <c r="C51" s="5">
        <v>0.3584</v>
      </c>
      <c r="D51" s="6">
        <v>90.2</v>
      </c>
      <c r="E51" s="6">
        <v>88.5</v>
      </c>
    </row>
    <row r="52" spans="1:5">
      <c r="A52">
        <v>47</v>
      </c>
      <c r="B52" s="5">
        <v>0.29189999999999999</v>
      </c>
      <c r="C52" s="5">
        <v>0.37069999999999997</v>
      </c>
      <c r="D52" s="6">
        <v>90.15</v>
      </c>
      <c r="E52" s="6">
        <v>88.3</v>
      </c>
    </row>
    <row r="53" spans="1:5">
      <c r="A53">
        <v>48</v>
      </c>
      <c r="B53" s="5">
        <v>0.28220000000000001</v>
      </c>
      <c r="C53" s="5">
        <v>0.34799999999999998</v>
      </c>
      <c r="D53" s="6">
        <v>90.32</v>
      </c>
      <c r="E53" s="6">
        <v>89.6</v>
      </c>
    </row>
    <row r="54" spans="1:5">
      <c r="A54">
        <v>49</v>
      </c>
      <c r="B54" s="5">
        <v>0.2838</v>
      </c>
      <c r="C54" s="5">
        <v>0.34329999999999999</v>
      </c>
      <c r="D54" s="6">
        <v>90.3</v>
      </c>
      <c r="E54" s="6">
        <v>87.8</v>
      </c>
    </row>
    <row r="55" spans="1:5">
      <c r="A55">
        <v>50</v>
      </c>
      <c r="B55" s="5">
        <v>0.2787</v>
      </c>
      <c r="C55" s="5">
        <v>0.32800000000000001</v>
      </c>
      <c r="D55" s="6">
        <v>90.43</v>
      </c>
      <c r="E55" s="6">
        <v>89.7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5"/>
  <sheetViews>
    <sheetView workbookViewId="0"/>
  </sheetViews>
  <sheetFormatPr baseColWidth="10" defaultColWidth="8.83203125" defaultRowHeight="15"/>
  <cols>
    <col min="1" max="1" width="10" customWidth="1"/>
    <col min="2" max="5" width="16" customWidth="1"/>
  </cols>
  <sheetData>
    <row r="1" spans="1:5" ht="46.25" customHeight="1">
      <c r="A1" s="15" t="s">
        <v>74</v>
      </c>
      <c r="B1" s="12"/>
      <c r="C1" s="12"/>
      <c r="D1" s="12"/>
      <c r="E1" s="12"/>
    </row>
    <row r="2" spans="1:5">
      <c r="A2" s="7" t="s">
        <v>21</v>
      </c>
      <c r="B2" t="s">
        <v>53</v>
      </c>
      <c r="C2" s="7" t="s">
        <v>24</v>
      </c>
      <c r="D2">
        <v>50</v>
      </c>
    </row>
    <row r="3" spans="1:5" ht="64" customHeight="1">
      <c r="A3" s="7" t="s">
        <v>7</v>
      </c>
      <c r="B3">
        <v>18.88</v>
      </c>
      <c r="C3" s="7" t="s">
        <v>67</v>
      </c>
      <c r="D3" s="8" t="s">
        <v>54</v>
      </c>
    </row>
    <row r="5" spans="1:5">
      <c r="A5" s="1" t="s">
        <v>2</v>
      </c>
      <c r="B5" s="1" t="s">
        <v>17</v>
      </c>
      <c r="C5" s="1" t="s">
        <v>18</v>
      </c>
      <c r="D5" s="1" t="s">
        <v>3</v>
      </c>
      <c r="E5" s="1" t="s">
        <v>4</v>
      </c>
    </row>
    <row r="6" spans="1:5">
      <c r="A6">
        <v>1</v>
      </c>
      <c r="B6" s="5">
        <v>1.7343</v>
      </c>
      <c r="C6" s="5">
        <v>1.4187000000000001</v>
      </c>
      <c r="D6" s="6">
        <v>42.63</v>
      </c>
      <c r="E6" s="6">
        <v>58.4</v>
      </c>
    </row>
    <row r="7" spans="1:5">
      <c r="A7">
        <v>2</v>
      </c>
      <c r="B7" s="5">
        <v>1.4710000000000001</v>
      </c>
      <c r="C7" s="5">
        <v>1.3512</v>
      </c>
      <c r="D7" s="6">
        <v>56.44</v>
      </c>
      <c r="E7" s="6">
        <v>63.6</v>
      </c>
    </row>
    <row r="8" spans="1:5">
      <c r="A8">
        <v>3</v>
      </c>
      <c r="B8" s="5">
        <v>1.3498000000000001</v>
      </c>
      <c r="C8" s="5">
        <v>1.29</v>
      </c>
      <c r="D8" s="6">
        <v>62.93</v>
      </c>
      <c r="E8" s="6">
        <v>64.2</v>
      </c>
    </row>
    <row r="9" spans="1:5">
      <c r="A9">
        <v>4</v>
      </c>
      <c r="B9" s="5">
        <v>1.2738</v>
      </c>
      <c r="C9" s="5">
        <v>1.1163000000000001</v>
      </c>
      <c r="D9" s="6">
        <v>66.33</v>
      </c>
      <c r="E9" s="6">
        <v>72.400000000000006</v>
      </c>
    </row>
    <row r="10" spans="1:5">
      <c r="A10">
        <v>5</v>
      </c>
      <c r="B10" s="5">
        <v>1.2170000000000001</v>
      </c>
      <c r="C10" s="5">
        <v>1.0852999999999999</v>
      </c>
      <c r="D10" s="6">
        <v>69.44</v>
      </c>
      <c r="E10" s="6">
        <v>74.2</v>
      </c>
    </row>
    <row r="11" spans="1:5">
      <c r="A11">
        <v>6</v>
      </c>
      <c r="B11" s="5">
        <v>1.177</v>
      </c>
      <c r="C11" s="5">
        <v>1.0615000000000001</v>
      </c>
      <c r="D11" s="6">
        <v>71.03</v>
      </c>
      <c r="E11" s="6">
        <v>74.900000000000006</v>
      </c>
    </row>
    <row r="12" spans="1:5">
      <c r="A12">
        <v>7</v>
      </c>
      <c r="B12" s="5">
        <v>1.1445000000000001</v>
      </c>
      <c r="C12" s="5">
        <v>0.98780000000000001</v>
      </c>
      <c r="D12" s="6">
        <v>72.53</v>
      </c>
      <c r="E12" s="6">
        <v>79</v>
      </c>
    </row>
    <row r="13" spans="1:5">
      <c r="A13">
        <v>8</v>
      </c>
      <c r="B13" s="5">
        <v>1.1145</v>
      </c>
      <c r="C13" s="5">
        <v>0.98380000000000001</v>
      </c>
      <c r="D13" s="6">
        <v>73.930000000000007</v>
      </c>
      <c r="E13" s="6">
        <v>79.5</v>
      </c>
    </row>
    <row r="14" spans="1:5">
      <c r="A14">
        <v>9</v>
      </c>
      <c r="B14" s="5">
        <v>1.0912999999999999</v>
      </c>
      <c r="C14" s="5">
        <v>0.99870000000000003</v>
      </c>
      <c r="D14" s="6">
        <v>75.19</v>
      </c>
      <c r="E14" s="6">
        <v>77.7</v>
      </c>
    </row>
    <row r="15" spans="1:5">
      <c r="A15">
        <v>10</v>
      </c>
      <c r="B15" s="5">
        <v>1.0753999999999999</v>
      </c>
      <c r="C15" s="5">
        <v>0.95179999999999998</v>
      </c>
      <c r="D15" s="6">
        <v>75.989999999999995</v>
      </c>
      <c r="E15" s="6">
        <v>79.900000000000006</v>
      </c>
    </row>
    <row r="16" spans="1:5">
      <c r="A16">
        <v>11</v>
      </c>
      <c r="B16" s="5">
        <v>1.0546</v>
      </c>
      <c r="C16" s="5">
        <v>0.92920000000000003</v>
      </c>
      <c r="D16" s="6">
        <v>77.150000000000006</v>
      </c>
      <c r="E16" s="6">
        <v>82.2</v>
      </c>
    </row>
    <row r="17" spans="1:5">
      <c r="A17">
        <v>12</v>
      </c>
      <c r="B17" s="5">
        <v>1.0450999999999999</v>
      </c>
      <c r="C17" s="5">
        <v>0.90490000000000004</v>
      </c>
      <c r="D17" s="6">
        <v>77.09</v>
      </c>
      <c r="E17" s="6">
        <v>82.4</v>
      </c>
    </row>
    <row r="18" spans="1:5">
      <c r="A18">
        <v>13</v>
      </c>
      <c r="B18" s="5">
        <v>1.0210999999999999</v>
      </c>
      <c r="C18" s="5">
        <v>0.92679999999999996</v>
      </c>
      <c r="D18" s="6">
        <v>78.42</v>
      </c>
      <c r="E18" s="6">
        <v>82.2</v>
      </c>
    </row>
    <row r="19" spans="1:5">
      <c r="A19">
        <v>14</v>
      </c>
      <c r="B19" s="5">
        <v>1.0073000000000001</v>
      </c>
      <c r="C19" s="5">
        <v>0.87370000000000003</v>
      </c>
      <c r="D19" s="6">
        <v>79.09</v>
      </c>
      <c r="E19" s="6">
        <v>83.9</v>
      </c>
    </row>
    <row r="20" spans="1:5">
      <c r="A20">
        <v>15</v>
      </c>
      <c r="B20" s="5">
        <v>0.99939999999999996</v>
      </c>
      <c r="C20" s="5">
        <v>0.89759999999999995</v>
      </c>
      <c r="D20" s="6">
        <v>79.510000000000005</v>
      </c>
      <c r="E20" s="6">
        <v>83.4</v>
      </c>
    </row>
    <row r="21" spans="1:5">
      <c r="A21">
        <v>16</v>
      </c>
      <c r="B21" s="5">
        <v>0.98319999999999996</v>
      </c>
      <c r="C21" s="5">
        <v>0.86719999999999997</v>
      </c>
      <c r="D21" s="6">
        <v>80.13</v>
      </c>
      <c r="E21" s="6">
        <v>84.7</v>
      </c>
    </row>
    <row r="22" spans="1:5">
      <c r="A22">
        <v>17</v>
      </c>
      <c r="B22" s="5">
        <v>0.97760000000000002</v>
      </c>
      <c r="C22" s="5">
        <v>0.87180000000000002</v>
      </c>
      <c r="D22" s="6">
        <v>80.44</v>
      </c>
      <c r="E22" s="6">
        <v>83.6</v>
      </c>
    </row>
    <row r="23" spans="1:5">
      <c r="A23">
        <v>18</v>
      </c>
      <c r="B23" s="5">
        <v>0.96630000000000005</v>
      </c>
      <c r="C23" s="5">
        <v>0.86560000000000004</v>
      </c>
      <c r="D23" s="6">
        <v>81.03</v>
      </c>
      <c r="E23" s="6">
        <v>84.6</v>
      </c>
    </row>
    <row r="24" spans="1:5">
      <c r="A24">
        <v>19</v>
      </c>
      <c r="B24" s="5">
        <v>0.95289999999999997</v>
      </c>
      <c r="C24" s="5">
        <v>0.8387</v>
      </c>
      <c r="D24" s="6">
        <v>81.73</v>
      </c>
      <c r="E24" s="6">
        <v>86</v>
      </c>
    </row>
    <row r="25" spans="1:5">
      <c r="A25">
        <v>20</v>
      </c>
      <c r="B25" s="5">
        <v>0.95209999999999995</v>
      </c>
      <c r="C25" s="5">
        <v>0.85389999999999999</v>
      </c>
      <c r="D25" s="6">
        <v>81.41</v>
      </c>
      <c r="E25" s="6">
        <v>84.6</v>
      </c>
    </row>
    <row r="26" spans="1:5">
      <c r="A26">
        <v>21</v>
      </c>
      <c r="B26" s="5">
        <v>0.94189999999999996</v>
      </c>
      <c r="C26" s="5">
        <v>0.82979999999999998</v>
      </c>
      <c r="D26" s="6">
        <v>81.98</v>
      </c>
      <c r="E26" s="6">
        <v>85.8</v>
      </c>
    </row>
    <row r="27" spans="1:5">
      <c r="A27">
        <v>22</v>
      </c>
      <c r="B27" s="5">
        <v>0.93769999999999998</v>
      </c>
      <c r="C27" s="5">
        <v>0.84</v>
      </c>
      <c r="D27" s="6">
        <v>82.36</v>
      </c>
      <c r="E27" s="6">
        <v>84.6</v>
      </c>
    </row>
    <row r="28" spans="1:5">
      <c r="A28">
        <v>23</v>
      </c>
      <c r="B28" s="5">
        <v>0.92469999999999997</v>
      </c>
      <c r="C28" s="5">
        <v>0.83979999999999999</v>
      </c>
      <c r="D28" s="6">
        <v>82.96</v>
      </c>
      <c r="E28" s="6">
        <v>85.7</v>
      </c>
    </row>
    <row r="29" spans="1:5">
      <c r="A29">
        <v>24</v>
      </c>
      <c r="B29" s="5">
        <v>0.92200000000000004</v>
      </c>
      <c r="C29" s="5">
        <v>0.82679999999999998</v>
      </c>
      <c r="D29" s="6">
        <v>83.02</v>
      </c>
      <c r="E29" s="6">
        <v>86.2</v>
      </c>
    </row>
    <row r="30" spans="1:5">
      <c r="A30">
        <v>25</v>
      </c>
      <c r="B30" s="5">
        <v>0.91220000000000001</v>
      </c>
      <c r="C30" s="5">
        <v>0.83899999999999997</v>
      </c>
      <c r="D30" s="6">
        <v>83.14</v>
      </c>
      <c r="E30" s="6">
        <v>85.8</v>
      </c>
    </row>
    <row r="31" spans="1:5">
      <c r="A31">
        <v>26</v>
      </c>
      <c r="B31" s="5">
        <v>0.90790000000000004</v>
      </c>
      <c r="C31" s="5">
        <v>0.81320000000000003</v>
      </c>
      <c r="D31" s="6">
        <v>83.76</v>
      </c>
      <c r="E31" s="6">
        <v>86.2</v>
      </c>
    </row>
    <row r="32" spans="1:5">
      <c r="A32">
        <v>27</v>
      </c>
      <c r="B32" s="5">
        <v>0.8982</v>
      </c>
      <c r="C32" s="5">
        <v>0.8044</v>
      </c>
      <c r="D32" s="6">
        <v>84.16</v>
      </c>
      <c r="E32" s="6">
        <v>87.5</v>
      </c>
    </row>
    <row r="33" spans="1:5">
      <c r="A33">
        <v>28</v>
      </c>
      <c r="B33" s="5">
        <v>0.89839999999999998</v>
      </c>
      <c r="C33" s="5">
        <v>0.8206</v>
      </c>
      <c r="D33" s="6">
        <v>84.09</v>
      </c>
      <c r="E33" s="6">
        <v>86.1</v>
      </c>
    </row>
    <row r="34" spans="1:5">
      <c r="A34">
        <v>29</v>
      </c>
      <c r="B34" s="5">
        <v>0.8911</v>
      </c>
      <c r="C34" s="5">
        <v>0.79010000000000002</v>
      </c>
      <c r="D34" s="6">
        <v>84.45</v>
      </c>
      <c r="E34" s="6">
        <v>88.5</v>
      </c>
    </row>
    <row r="35" spans="1:5">
      <c r="A35">
        <v>30</v>
      </c>
      <c r="B35" s="5">
        <v>0.88370000000000004</v>
      </c>
      <c r="C35" s="5">
        <v>0.80659999999999998</v>
      </c>
      <c r="D35" s="6">
        <v>84.51</v>
      </c>
      <c r="E35" s="6">
        <v>86.9</v>
      </c>
    </row>
    <row r="36" spans="1:5">
      <c r="A36">
        <v>31</v>
      </c>
      <c r="B36" s="5">
        <v>0.88349999999999995</v>
      </c>
      <c r="C36" s="5">
        <v>0.80330000000000001</v>
      </c>
      <c r="D36" s="6">
        <v>84.64</v>
      </c>
      <c r="E36" s="6">
        <v>87.5</v>
      </c>
    </row>
    <row r="37" spans="1:5">
      <c r="A37">
        <v>32</v>
      </c>
      <c r="B37" s="5">
        <v>0.87629999999999997</v>
      </c>
      <c r="C37" s="5">
        <v>0.80610000000000004</v>
      </c>
      <c r="D37" s="6">
        <v>84.97</v>
      </c>
      <c r="E37" s="6">
        <v>87.5</v>
      </c>
    </row>
    <row r="38" spans="1:5">
      <c r="A38">
        <v>33</v>
      </c>
      <c r="B38" s="5">
        <v>0.87470000000000003</v>
      </c>
      <c r="C38" s="5">
        <v>0.81010000000000004</v>
      </c>
      <c r="D38" s="6">
        <v>85.11</v>
      </c>
      <c r="E38" s="6">
        <v>86.7</v>
      </c>
    </row>
    <row r="39" spans="1:5">
      <c r="A39">
        <v>34</v>
      </c>
      <c r="B39" s="5">
        <v>0.86890000000000001</v>
      </c>
      <c r="C39" s="5">
        <v>0.80779999999999996</v>
      </c>
      <c r="D39" s="6">
        <v>85.32</v>
      </c>
      <c r="E39" s="6">
        <v>86.6</v>
      </c>
    </row>
    <row r="40" spans="1:5">
      <c r="A40">
        <v>35</v>
      </c>
      <c r="B40" s="5">
        <v>0.86380000000000001</v>
      </c>
      <c r="C40" s="5">
        <v>0.80740000000000001</v>
      </c>
      <c r="D40" s="6">
        <v>85.61</v>
      </c>
      <c r="E40" s="6">
        <v>86.5</v>
      </c>
    </row>
    <row r="41" spans="1:5">
      <c r="A41">
        <v>36</v>
      </c>
      <c r="B41" s="5">
        <v>0.85809999999999997</v>
      </c>
      <c r="C41" s="5">
        <v>0.81040000000000001</v>
      </c>
      <c r="D41" s="6">
        <v>85.91</v>
      </c>
      <c r="E41" s="6">
        <v>87.4</v>
      </c>
    </row>
    <row r="42" spans="1:5">
      <c r="A42">
        <v>37</v>
      </c>
      <c r="B42" s="5">
        <v>0.85809999999999997</v>
      </c>
      <c r="C42" s="5">
        <v>0.78820000000000001</v>
      </c>
      <c r="D42" s="6">
        <v>85.77</v>
      </c>
      <c r="E42" s="6">
        <v>87.7</v>
      </c>
    </row>
    <row r="43" spans="1:5">
      <c r="A43">
        <v>38</v>
      </c>
      <c r="B43" s="5">
        <v>0.85570000000000002</v>
      </c>
      <c r="C43" s="5">
        <v>0.79059999999999997</v>
      </c>
      <c r="D43" s="6">
        <v>85.82</v>
      </c>
      <c r="E43" s="6">
        <v>87.6</v>
      </c>
    </row>
    <row r="44" spans="1:5">
      <c r="A44">
        <v>39</v>
      </c>
      <c r="B44" s="5">
        <v>0.85219999999999996</v>
      </c>
      <c r="C44" s="5">
        <v>0.78129999999999999</v>
      </c>
      <c r="D44" s="6">
        <v>85.98</v>
      </c>
      <c r="E44" s="6">
        <v>87.5</v>
      </c>
    </row>
    <row r="45" spans="1:5">
      <c r="A45">
        <v>40</v>
      </c>
      <c r="B45" s="5">
        <v>0.84940000000000004</v>
      </c>
      <c r="C45" s="5">
        <v>0.79</v>
      </c>
      <c r="D45" s="6">
        <v>86.21</v>
      </c>
      <c r="E45" s="6">
        <v>87.9</v>
      </c>
    </row>
    <row r="46" spans="1:5">
      <c r="A46">
        <v>41</v>
      </c>
      <c r="B46" s="5">
        <v>0.84550000000000003</v>
      </c>
      <c r="C46" s="5">
        <v>0.79259999999999997</v>
      </c>
      <c r="D46" s="6">
        <v>86.42</v>
      </c>
      <c r="E46" s="6">
        <v>87.8</v>
      </c>
    </row>
    <row r="47" spans="1:5">
      <c r="A47">
        <v>42</v>
      </c>
      <c r="B47" s="5">
        <v>0.84050000000000002</v>
      </c>
      <c r="C47" s="5">
        <v>0.79879999999999995</v>
      </c>
      <c r="D47" s="6">
        <v>86.74</v>
      </c>
      <c r="E47" s="6">
        <v>87.5</v>
      </c>
    </row>
    <row r="48" spans="1:5">
      <c r="A48">
        <v>43</v>
      </c>
      <c r="B48" s="5">
        <v>0.83889999999999998</v>
      </c>
      <c r="C48" s="5">
        <v>0.7823</v>
      </c>
      <c r="D48" s="6">
        <v>86.7</v>
      </c>
      <c r="E48" s="6">
        <v>87.7</v>
      </c>
    </row>
    <row r="49" spans="1:5">
      <c r="A49">
        <v>44</v>
      </c>
      <c r="B49" s="5">
        <v>0.82979999999999998</v>
      </c>
      <c r="C49" s="5">
        <v>0.79339999999999999</v>
      </c>
      <c r="D49" s="6">
        <v>87.11</v>
      </c>
      <c r="E49" s="6">
        <v>87.9</v>
      </c>
    </row>
    <row r="50" spans="1:5">
      <c r="A50">
        <v>45</v>
      </c>
      <c r="B50" s="5">
        <v>0.82609999999999995</v>
      </c>
      <c r="C50" s="5">
        <v>0.78139999999999998</v>
      </c>
      <c r="D50" s="6">
        <v>87.3</v>
      </c>
      <c r="E50" s="6">
        <v>88.1</v>
      </c>
    </row>
    <row r="51" spans="1:5">
      <c r="A51">
        <v>46</v>
      </c>
      <c r="B51" s="5">
        <v>0.82989999999999997</v>
      </c>
      <c r="C51" s="5">
        <v>0.78510000000000002</v>
      </c>
      <c r="D51" s="6">
        <v>87.07</v>
      </c>
      <c r="E51" s="6">
        <v>87.7</v>
      </c>
    </row>
    <row r="52" spans="1:5">
      <c r="A52">
        <v>47</v>
      </c>
      <c r="B52" s="5">
        <v>0.82599999999999996</v>
      </c>
      <c r="C52" s="5">
        <v>0.78449999999999998</v>
      </c>
      <c r="D52" s="6">
        <v>87.3</v>
      </c>
      <c r="E52" s="6">
        <v>87.8</v>
      </c>
    </row>
    <row r="53" spans="1:5">
      <c r="A53">
        <v>48</v>
      </c>
      <c r="B53" s="5">
        <v>0.82540000000000002</v>
      </c>
      <c r="C53" s="5">
        <v>0.79139999999999999</v>
      </c>
      <c r="D53" s="6">
        <v>87.27</v>
      </c>
      <c r="E53" s="6">
        <v>87.4</v>
      </c>
    </row>
    <row r="54" spans="1:5">
      <c r="A54">
        <v>49</v>
      </c>
      <c r="B54" s="5">
        <v>0.82230000000000003</v>
      </c>
      <c r="C54" s="5">
        <v>0.76119999999999999</v>
      </c>
      <c r="D54" s="6">
        <v>87.55</v>
      </c>
      <c r="E54" s="6">
        <v>88.6</v>
      </c>
    </row>
    <row r="55" spans="1:5">
      <c r="A55">
        <v>50</v>
      </c>
      <c r="B55" s="5">
        <v>0.81540000000000001</v>
      </c>
      <c r="C55" s="5">
        <v>0.76270000000000004</v>
      </c>
      <c r="D55" s="6">
        <v>87.63</v>
      </c>
      <c r="E55" s="6">
        <v>89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5"/>
  <sheetViews>
    <sheetView workbookViewId="0">
      <selection sqref="A1:E1"/>
    </sheetView>
  </sheetViews>
  <sheetFormatPr baseColWidth="10" defaultColWidth="8.83203125" defaultRowHeight="15"/>
  <cols>
    <col min="1" max="1" width="10" customWidth="1"/>
    <col min="2" max="5" width="16" customWidth="1"/>
  </cols>
  <sheetData>
    <row r="1" spans="1:5" ht="46.25" customHeight="1">
      <c r="A1" s="15" t="s">
        <v>75</v>
      </c>
      <c r="B1" s="12"/>
      <c r="C1" s="12"/>
      <c r="D1" s="12"/>
      <c r="E1" s="12"/>
    </row>
    <row r="2" spans="1:5">
      <c r="A2" s="7" t="s">
        <v>21</v>
      </c>
      <c r="B2" t="s">
        <v>56</v>
      </c>
      <c r="C2" s="7" t="s">
        <v>24</v>
      </c>
      <c r="D2">
        <v>50</v>
      </c>
    </row>
    <row r="3" spans="1:5" ht="64" customHeight="1">
      <c r="A3" s="7" t="s">
        <v>7</v>
      </c>
      <c r="B3">
        <v>47.55</v>
      </c>
      <c r="C3" s="7" t="s">
        <v>67</v>
      </c>
      <c r="D3" s="8" t="s">
        <v>57</v>
      </c>
    </row>
    <row r="5" spans="1:5">
      <c r="A5" s="1" t="s">
        <v>2</v>
      </c>
      <c r="B5" s="1" t="s">
        <v>17</v>
      </c>
      <c r="C5" s="1" t="s">
        <v>18</v>
      </c>
      <c r="D5" s="1" t="s">
        <v>3</v>
      </c>
      <c r="E5" s="1" t="s">
        <v>4</v>
      </c>
    </row>
    <row r="6" spans="1:5">
      <c r="A6">
        <v>1</v>
      </c>
      <c r="B6" s="5">
        <v>1.6019000000000001</v>
      </c>
      <c r="C6" s="5">
        <v>1.3762000000000001</v>
      </c>
      <c r="D6" s="6">
        <v>40.71</v>
      </c>
      <c r="E6" s="6">
        <v>49</v>
      </c>
    </row>
    <row r="7" spans="1:5">
      <c r="A7">
        <v>2</v>
      </c>
      <c r="B7" s="5">
        <v>1.2332000000000001</v>
      </c>
      <c r="C7" s="5">
        <v>1.1386000000000001</v>
      </c>
      <c r="D7" s="6">
        <v>55.82</v>
      </c>
      <c r="E7" s="6">
        <v>61.2</v>
      </c>
    </row>
    <row r="8" spans="1:5">
      <c r="A8">
        <v>3</v>
      </c>
      <c r="B8" s="5">
        <v>1.0458000000000001</v>
      </c>
      <c r="C8" s="5">
        <v>0.82089999999999996</v>
      </c>
      <c r="D8" s="6">
        <v>63.3</v>
      </c>
      <c r="E8" s="6">
        <v>71.7</v>
      </c>
    </row>
    <row r="9" spans="1:5">
      <c r="A9">
        <v>4</v>
      </c>
      <c r="B9" s="5">
        <v>0.90820000000000001</v>
      </c>
      <c r="C9" s="5">
        <v>0.73</v>
      </c>
      <c r="D9" s="6">
        <v>68.709999999999994</v>
      </c>
      <c r="E9" s="6">
        <v>75.400000000000006</v>
      </c>
    </row>
    <row r="10" spans="1:5">
      <c r="A10">
        <v>5</v>
      </c>
      <c r="B10" s="5">
        <v>0.81040000000000001</v>
      </c>
      <c r="C10" s="5">
        <v>0.64459999999999995</v>
      </c>
      <c r="D10" s="6">
        <v>72.05</v>
      </c>
      <c r="E10" s="6">
        <v>78.599999999999994</v>
      </c>
    </row>
    <row r="11" spans="1:5">
      <c r="A11">
        <v>6</v>
      </c>
      <c r="B11" s="5">
        <v>0.73040000000000005</v>
      </c>
      <c r="C11" s="5">
        <v>0.5746</v>
      </c>
      <c r="D11" s="6">
        <v>75.05</v>
      </c>
      <c r="E11" s="6">
        <v>80</v>
      </c>
    </row>
    <row r="12" spans="1:5">
      <c r="A12">
        <v>7</v>
      </c>
      <c r="B12" s="5">
        <v>0.66539999999999999</v>
      </c>
      <c r="C12" s="5">
        <v>0.52749999999999997</v>
      </c>
      <c r="D12" s="6">
        <v>77.31</v>
      </c>
      <c r="E12" s="6">
        <v>81.7</v>
      </c>
    </row>
    <row r="13" spans="1:5">
      <c r="A13">
        <v>8</v>
      </c>
      <c r="B13" s="5">
        <v>0.61370000000000002</v>
      </c>
      <c r="C13" s="5">
        <v>0.50039999999999996</v>
      </c>
      <c r="D13" s="6">
        <v>79.06</v>
      </c>
      <c r="E13" s="6">
        <v>83.3</v>
      </c>
    </row>
    <row r="14" spans="1:5">
      <c r="A14">
        <v>9</v>
      </c>
      <c r="B14" s="5">
        <v>0.57920000000000005</v>
      </c>
      <c r="C14" s="5">
        <v>0.4874</v>
      </c>
      <c r="D14" s="6">
        <v>80.31</v>
      </c>
      <c r="E14" s="6">
        <v>84.1</v>
      </c>
    </row>
    <row r="15" spans="1:5">
      <c r="A15">
        <v>10</v>
      </c>
      <c r="B15" s="5">
        <v>0.56030000000000002</v>
      </c>
      <c r="C15" s="5">
        <v>0.48139999999999999</v>
      </c>
      <c r="D15" s="6">
        <v>80.91</v>
      </c>
      <c r="E15" s="6">
        <v>83.7</v>
      </c>
    </row>
    <row r="16" spans="1:5">
      <c r="A16">
        <v>11</v>
      </c>
      <c r="B16" s="5">
        <v>0.75970000000000004</v>
      </c>
      <c r="C16" s="5">
        <v>0.65210000000000001</v>
      </c>
      <c r="D16" s="6">
        <v>74.31</v>
      </c>
      <c r="E16" s="6">
        <v>77.599999999999994</v>
      </c>
    </row>
    <row r="17" spans="1:5">
      <c r="A17">
        <v>12</v>
      </c>
      <c r="B17" s="5">
        <v>0.70189999999999997</v>
      </c>
      <c r="C17" s="5">
        <v>0.58430000000000004</v>
      </c>
      <c r="D17" s="6">
        <v>76.239999999999995</v>
      </c>
      <c r="E17" s="6">
        <v>79.8</v>
      </c>
    </row>
    <row r="18" spans="1:5">
      <c r="A18">
        <v>13</v>
      </c>
      <c r="B18" s="5">
        <v>0.65159999999999996</v>
      </c>
      <c r="C18" s="5">
        <v>0.53520000000000001</v>
      </c>
      <c r="D18" s="6">
        <v>77.959999999999994</v>
      </c>
      <c r="E18" s="6">
        <v>81.900000000000006</v>
      </c>
    </row>
    <row r="19" spans="1:5">
      <c r="A19">
        <v>14</v>
      </c>
      <c r="B19" s="5">
        <v>0.60750000000000004</v>
      </c>
      <c r="C19" s="5">
        <v>0.49630000000000002</v>
      </c>
      <c r="D19" s="6">
        <v>79.47</v>
      </c>
      <c r="E19" s="6">
        <v>82.2</v>
      </c>
    </row>
    <row r="20" spans="1:5">
      <c r="A20">
        <v>15</v>
      </c>
      <c r="B20" s="5">
        <v>0.55689999999999995</v>
      </c>
      <c r="C20" s="5">
        <v>0.48870000000000002</v>
      </c>
      <c r="D20" s="6">
        <v>81.290000000000006</v>
      </c>
      <c r="E20" s="6">
        <v>82.6</v>
      </c>
    </row>
    <row r="21" spans="1:5">
      <c r="A21">
        <v>16</v>
      </c>
      <c r="B21" s="5">
        <v>0.51490000000000002</v>
      </c>
      <c r="C21" s="5">
        <v>0.43559999999999999</v>
      </c>
      <c r="D21" s="6">
        <v>82.64</v>
      </c>
      <c r="E21" s="6">
        <v>85.4</v>
      </c>
    </row>
    <row r="22" spans="1:5">
      <c r="A22">
        <v>17</v>
      </c>
      <c r="B22" s="5">
        <v>0.47349999999999998</v>
      </c>
      <c r="C22" s="5">
        <v>0.40129999999999999</v>
      </c>
      <c r="D22" s="6">
        <v>84.11</v>
      </c>
      <c r="E22" s="6">
        <v>85.6</v>
      </c>
    </row>
    <row r="23" spans="1:5">
      <c r="A23">
        <v>18</v>
      </c>
      <c r="B23" s="5">
        <v>0.43980000000000002</v>
      </c>
      <c r="C23" s="5">
        <v>0.3695</v>
      </c>
      <c r="D23" s="6">
        <v>85.04</v>
      </c>
      <c r="E23" s="6">
        <v>86.6</v>
      </c>
    </row>
    <row r="24" spans="1:5">
      <c r="A24">
        <v>19</v>
      </c>
      <c r="B24" s="5">
        <v>0.41930000000000001</v>
      </c>
      <c r="C24" s="5">
        <v>0.3674</v>
      </c>
      <c r="D24" s="6">
        <v>85.72</v>
      </c>
      <c r="E24" s="6">
        <v>86.5</v>
      </c>
    </row>
    <row r="25" spans="1:5">
      <c r="A25">
        <v>20</v>
      </c>
      <c r="B25" s="5">
        <v>0.4088</v>
      </c>
      <c r="C25" s="5">
        <v>0.36559999999999998</v>
      </c>
      <c r="D25" s="6">
        <v>86.21</v>
      </c>
      <c r="E25" s="6">
        <v>86.9</v>
      </c>
    </row>
    <row r="26" spans="1:5">
      <c r="A26">
        <v>21</v>
      </c>
      <c r="B26" s="5">
        <v>0.58050000000000002</v>
      </c>
      <c r="C26" s="5">
        <v>0.50149999999999995</v>
      </c>
      <c r="D26" s="6">
        <v>80.319999999999993</v>
      </c>
      <c r="E26" s="6">
        <v>83.2</v>
      </c>
    </row>
    <row r="27" spans="1:5">
      <c r="A27">
        <v>22</v>
      </c>
      <c r="B27" s="5">
        <v>0.55940000000000001</v>
      </c>
      <c r="C27" s="5">
        <v>0.48280000000000001</v>
      </c>
      <c r="D27" s="6">
        <v>81.3</v>
      </c>
      <c r="E27" s="6">
        <v>83.6</v>
      </c>
    </row>
    <row r="28" spans="1:5">
      <c r="A28">
        <v>23</v>
      </c>
      <c r="B28" s="5">
        <v>0.5252</v>
      </c>
      <c r="C28" s="5">
        <v>0.43890000000000001</v>
      </c>
      <c r="D28" s="6">
        <v>82.38</v>
      </c>
      <c r="E28" s="6">
        <v>85.5</v>
      </c>
    </row>
    <row r="29" spans="1:5">
      <c r="A29">
        <v>24</v>
      </c>
      <c r="B29" s="5">
        <v>0.49249999999999999</v>
      </c>
      <c r="C29" s="5">
        <v>0.43980000000000002</v>
      </c>
      <c r="D29" s="6">
        <v>83.36</v>
      </c>
      <c r="E29" s="6">
        <v>85.6</v>
      </c>
    </row>
    <row r="30" spans="1:5">
      <c r="A30">
        <v>25</v>
      </c>
      <c r="B30" s="5">
        <v>0.45650000000000002</v>
      </c>
      <c r="C30" s="5">
        <v>0.38500000000000001</v>
      </c>
      <c r="D30" s="6">
        <v>84.54</v>
      </c>
      <c r="E30" s="6">
        <v>86.6</v>
      </c>
    </row>
    <row r="31" spans="1:5">
      <c r="A31">
        <v>26</v>
      </c>
      <c r="B31" s="5">
        <v>0.42430000000000001</v>
      </c>
      <c r="C31" s="5">
        <v>0.36609999999999998</v>
      </c>
      <c r="D31" s="6">
        <v>85.53</v>
      </c>
      <c r="E31" s="6">
        <v>86.8</v>
      </c>
    </row>
    <row r="32" spans="1:5">
      <c r="A32">
        <v>27</v>
      </c>
      <c r="B32" s="5">
        <v>0.38950000000000001</v>
      </c>
      <c r="C32" s="5">
        <v>0.35670000000000002</v>
      </c>
      <c r="D32" s="6">
        <v>86.78</v>
      </c>
      <c r="E32" s="6">
        <v>87.9</v>
      </c>
    </row>
    <row r="33" spans="1:5">
      <c r="A33">
        <v>28</v>
      </c>
      <c r="B33" s="5">
        <v>0.36899999999999999</v>
      </c>
      <c r="C33" s="5">
        <v>0.35930000000000001</v>
      </c>
      <c r="D33" s="6">
        <v>87.52</v>
      </c>
      <c r="E33" s="6">
        <v>88</v>
      </c>
    </row>
    <row r="34" spans="1:5">
      <c r="A34">
        <v>29</v>
      </c>
      <c r="B34" s="5">
        <v>0.34350000000000003</v>
      </c>
      <c r="C34" s="5">
        <v>0.34470000000000001</v>
      </c>
      <c r="D34" s="6">
        <v>88.26</v>
      </c>
      <c r="E34" s="6">
        <v>88.8</v>
      </c>
    </row>
    <row r="35" spans="1:5">
      <c r="A35">
        <v>30</v>
      </c>
      <c r="B35" s="5">
        <v>0.33860000000000001</v>
      </c>
      <c r="C35" s="5">
        <v>0.34200000000000003</v>
      </c>
      <c r="D35" s="6">
        <v>88.49</v>
      </c>
      <c r="E35" s="6">
        <v>88.7</v>
      </c>
    </row>
    <row r="36" spans="1:5">
      <c r="A36">
        <v>31</v>
      </c>
      <c r="B36" s="5">
        <v>0.48720000000000002</v>
      </c>
      <c r="C36" s="5">
        <v>0.44979999999999998</v>
      </c>
      <c r="D36" s="6">
        <v>83.56</v>
      </c>
      <c r="E36" s="6">
        <v>83.9</v>
      </c>
    </row>
    <row r="37" spans="1:5">
      <c r="A37">
        <v>32</v>
      </c>
      <c r="B37" s="5">
        <v>0.47510000000000002</v>
      </c>
      <c r="C37" s="5">
        <v>0.4506</v>
      </c>
      <c r="D37" s="6">
        <v>84.06</v>
      </c>
      <c r="E37" s="6">
        <v>84.6</v>
      </c>
    </row>
    <row r="38" spans="1:5">
      <c r="A38">
        <v>33</v>
      </c>
      <c r="B38" s="5">
        <v>0.45440000000000003</v>
      </c>
      <c r="C38" s="5">
        <v>0.40860000000000002</v>
      </c>
      <c r="D38" s="6">
        <v>84.51</v>
      </c>
      <c r="E38" s="6">
        <v>85.5</v>
      </c>
    </row>
    <row r="39" spans="1:5">
      <c r="A39">
        <v>34</v>
      </c>
      <c r="B39" s="5">
        <v>0.42320000000000002</v>
      </c>
      <c r="C39" s="5">
        <v>0.38919999999999999</v>
      </c>
      <c r="D39" s="6">
        <v>85.64</v>
      </c>
      <c r="E39" s="6">
        <v>86.2</v>
      </c>
    </row>
    <row r="40" spans="1:5">
      <c r="A40">
        <v>35</v>
      </c>
      <c r="B40" s="5">
        <v>0.39479999999999998</v>
      </c>
      <c r="C40" s="5">
        <v>0.36059999999999998</v>
      </c>
      <c r="D40" s="6">
        <v>86.71</v>
      </c>
      <c r="E40" s="6">
        <v>88</v>
      </c>
    </row>
    <row r="41" spans="1:5">
      <c r="A41">
        <v>36</v>
      </c>
      <c r="B41" s="5">
        <v>0.36520000000000002</v>
      </c>
      <c r="C41" s="5">
        <v>0.34760000000000002</v>
      </c>
      <c r="D41" s="6">
        <v>87.65</v>
      </c>
      <c r="E41" s="6">
        <v>89.6</v>
      </c>
    </row>
    <row r="42" spans="1:5">
      <c r="A42">
        <v>37</v>
      </c>
      <c r="B42" s="5">
        <v>0.3357</v>
      </c>
      <c r="C42" s="5">
        <v>0.33479999999999999</v>
      </c>
      <c r="D42" s="6">
        <v>88.57</v>
      </c>
      <c r="E42" s="6">
        <v>88.7</v>
      </c>
    </row>
    <row r="43" spans="1:5">
      <c r="A43">
        <v>38</v>
      </c>
      <c r="B43" s="5">
        <v>0.3165</v>
      </c>
      <c r="C43" s="5">
        <v>0.33760000000000001</v>
      </c>
      <c r="D43" s="6">
        <v>89.11</v>
      </c>
      <c r="E43" s="6">
        <v>89.1</v>
      </c>
    </row>
    <row r="44" spans="1:5">
      <c r="A44">
        <v>39</v>
      </c>
      <c r="B44" s="5">
        <v>0.30170000000000002</v>
      </c>
      <c r="C44" s="5">
        <v>0.33679999999999999</v>
      </c>
      <c r="D44" s="6">
        <v>89.69</v>
      </c>
      <c r="E44" s="6">
        <v>88.7</v>
      </c>
    </row>
    <row r="45" spans="1:5">
      <c r="A45">
        <v>40</v>
      </c>
      <c r="B45" s="5">
        <v>0.29389999999999999</v>
      </c>
      <c r="C45" s="5">
        <v>0.33860000000000001</v>
      </c>
      <c r="D45" s="6">
        <v>89.93</v>
      </c>
      <c r="E45" s="6">
        <v>89.3</v>
      </c>
    </row>
    <row r="46" spans="1:5">
      <c r="A46">
        <v>41</v>
      </c>
      <c r="B46" s="5">
        <v>0.42130000000000001</v>
      </c>
      <c r="C46" s="5">
        <v>0.40350000000000003</v>
      </c>
      <c r="D46" s="6">
        <v>85.74</v>
      </c>
      <c r="E46" s="6">
        <v>86.9</v>
      </c>
    </row>
    <row r="47" spans="1:5">
      <c r="A47">
        <v>42</v>
      </c>
      <c r="B47" s="5">
        <v>0.42320000000000002</v>
      </c>
      <c r="C47" s="5">
        <v>0.35749999999999998</v>
      </c>
      <c r="D47" s="6">
        <v>85.8</v>
      </c>
      <c r="E47" s="6">
        <v>86.6</v>
      </c>
    </row>
    <row r="48" spans="1:5">
      <c r="A48">
        <v>43</v>
      </c>
      <c r="B48" s="5">
        <v>0.40100000000000002</v>
      </c>
      <c r="C48" s="5">
        <v>0.4254</v>
      </c>
      <c r="D48" s="6">
        <v>86.4</v>
      </c>
      <c r="E48" s="6">
        <v>86.6</v>
      </c>
    </row>
    <row r="49" spans="1:5">
      <c r="A49">
        <v>44</v>
      </c>
      <c r="B49" s="5">
        <v>0.37990000000000002</v>
      </c>
      <c r="C49" s="5">
        <v>0.39810000000000001</v>
      </c>
      <c r="D49" s="6">
        <v>86.94</v>
      </c>
      <c r="E49" s="6">
        <v>86.5</v>
      </c>
    </row>
    <row r="50" spans="1:5">
      <c r="A50">
        <v>45</v>
      </c>
      <c r="B50" s="5">
        <v>0.35</v>
      </c>
      <c r="C50" s="5">
        <v>0.37409999999999999</v>
      </c>
      <c r="D50" s="6">
        <v>88.19</v>
      </c>
      <c r="E50" s="6">
        <v>87.6</v>
      </c>
    </row>
    <row r="51" spans="1:5">
      <c r="A51">
        <v>46</v>
      </c>
      <c r="B51" s="5">
        <v>0.31950000000000001</v>
      </c>
      <c r="C51" s="5">
        <v>0.32269999999999999</v>
      </c>
      <c r="D51" s="6">
        <v>89.08</v>
      </c>
      <c r="E51" s="6">
        <v>89</v>
      </c>
    </row>
    <row r="52" spans="1:5">
      <c r="A52">
        <v>47</v>
      </c>
      <c r="B52" s="5">
        <v>0.30020000000000002</v>
      </c>
      <c r="C52" s="5">
        <v>0.32619999999999999</v>
      </c>
      <c r="D52" s="6">
        <v>89.65</v>
      </c>
      <c r="E52" s="6">
        <v>90.2</v>
      </c>
    </row>
    <row r="53" spans="1:5">
      <c r="A53">
        <v>48</v>
      </c>
      <c r="B53" s="5">
        <v>0.27710000000000001</v>
      </c>
      <c r="C53" s="5">
        <v>0.30409999999999998</v>
      </c>
      <c r="D53" s="6">
        <v>90.42</v>
      </c>
      <c r="E53" s="6">
        <v>90.4</v>
      </c>
    </row>
    <row r="54" spans="1:5">
      <c r="A54">
        <v>49</v>
      </c>
      <c r="B54" s="5">
        <v>0.26469999999999999</v>
      </c>
      <c r="C54" s="5">
        <v>0.30830000000000002</v>
      </c>
      <c r="D54" s="6">
        <v>90.93</v>
      </c>
      <c r="E54" s="6">
        <v>89.9</v>
      </c>
    </row>
    <row r="55" spans="1:5">
      <c r="A55">
        <v>50</v>
      </c>
      <c r="B55" s="5">
        <v>0.26029999999999998</v>
      </c>
      <c r="C55" s="5">
        <v>0.30530000000000002</v>
      </c>
      <c r="D55" s="6">
        <v>91.03</v>
      </c>
      <c r="E55" s="6">
        <v>90.1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55"/>
  <sheetViews>
    <sheetView workbookViewId="0">
      <selection sqref="A1:E1"/>
    </sheetView>
  </sheetViews>
  <sheetFormatPr baseColWidth="10" defaultColWidth="8.83203125" defaultRowHeight="15"/>
  <cols>
    <col min="1" max="1" width="10" customWidth="1"/>
    <col min="2" max="5" width="16" customWidth="1"/>
  </cols>
  <sheetData>
    <row r="1" spans="1:5" ht="46.25" customHeight="1">
      <c r="A1" s="15" t="s">
        <v>76</v>
      </c>
      <c r="B1" s="12"/>
      <c r="C1" s="12"/>
      <c r="D1" s="12"/>
      <c r="E1" s="12"/>
    </row>
    <row r="2" spans="1:5">
      <c r="A2" s="7" t="s">
        <v>21</v>
      </c>
      <c r="B2" t="s">
        <v>59</v>
      </c>
      <c r="C2" s="7" t="s">
        <v>24</v>
      </c>
      <c r="D2">
        <v>50</v>
      </c>
    </row>
    <row r="3" spans="1:5" ht="48" customHeight="1">
      <c r="A3" s="7" t="s">
        <v>7</v>
      </c>
      <c r="B3">
        <v>36.450000000000003</v>
      </c>
      <c r="C3" s="7" t="s">
        <v>67</v>
      </c>
      <c r="D3" s="8" t="s">
        <v>60</v>
      </c>
    </row>
    <row r="5" spans="1:5">
      <c r="A5" s="1" t="s">
        <v>2</v>
      </c>
      <c r="B5" s="1" t="s">
        <v>17</v>
      </c>
      <c r="C5" s="1" t="s">
        <v>18</v>
      </c>
      <c r="D5" s="1" t="s">
        <v>3</v>
      </c>
      <c r="E5" s="1" t="s">
        <v>4</v>
      </c>
    </row>
    <row r="6" spans="1:5">
      <c r="A6">
        <v>1</v>
      </c>
      <c r="B6" s="5">
        <v>1.605</v>
      </c>
      <c r="C6" s="5">
        <v>1.2177</v>
      </c>
      <c r="D6" s="6">
        <v>40.99</v>
      </c>
      <c r="E6" s="6">
        <v>55.8</v>
      </c>
    </row>
    <row r="7" spans="1:5">
      <c r="A7">
        <v>2</v>
      </c>
      <c r="B7" s="5">
        <v>1.2509999999999999</v>
      </c>
      <c r="C7" s="5">
        <v>1.0597000000000001</v>
      </c>
      <c r="D7" s="6">
        <v>55.42</v>
      </c>
      <c r="E7" s="6">
        <v>61.6</v>
      </c>
    </row>
    <row r="8" spans="1:5">
      <c r="A8">
        <v>3</v>
      </c>
      <c r="B8" s="5">
        <v>1.0911</v>
      </c>
      <c r="C8" s="5">
        <v>0.88560000000000005</v>
      </c>
      <c r="D8" s="6">
        <v>61.74</v>
      </c>
      <c r="E8" s="6">
        <v>68.3</v>
      </c>
    </row>
    <row r="9" spans="1:5">
      <c r="A9">
        <v>4</v>
      </c>
      <c r="B9" s="5">
        <v>0.98060000000000003</v>
      </c>
      <c r="C9" s="5">
        <v>0.81130000000000002</v>
      </c>
      <c r="D9" s="6">
        <v>65.790000000000006</v>
      </c>
      <c r="E9" s="6">
        <v>72</v>
      </c>
    </row>
    <row r="10" spans="1:5">
      <c r="A10">
        <v>5</v>
      </c>
      <c r="B10" s="5">
        <v>0.90039999999999998</v>
      </c>
      <c r="C10" s="5">
        <v>0.746</v>
      </c>
      <c r="D10" s="6">
        <v>68.790000000000006</v>
      </c>
      <c r="E10" s="6">
        <v>75.099999999999994</v>
      </c>
    </row>
    <row r="11" spans="1:5">
      <c r="A11">
        <v>6</v>
      </c>
      <c r="B11" s="5">
        <v>0.83240000000000003</v>
      </c>
      <c r="C11" s="5">
        <v>0.67569999999999997</v>
      </c>
      <c r="D11" s="6">
        <v>71.510000000000005</v>
      </c>
      <c r="E11" s="6">
        <v>77.099999999999994</v>
      </c>
    </row>
    <row r="12" spans="1:5">
      <c r="A12">
        <v>7</v>
      </c>
      <c r="B12" s="5">
        <v>0.7853</v>
      </c>
      <c r="C12" s="5">
        <v>0.6411</v>
      </c>
      <c r="D12" s="6">
        <v>73.010000000000005</v>
      </c>
      <c r="E12" s="6">
        <v>77.400000000000006</v>
      </c>
    </row>
    <row r="13" spans="1:5">
      <c r="A13">
        <v>8</v>
      </c>
      <c r="B13" s="5">
        <v>0.74139999999999995</v>
      </c>
      <c r="C13" s="5">
        <v>0.59260000000000002</v>
      </c>
      <c r="D13" s="6">
        <v>74.540000000000006</v>
      </c>
      <c r="E13" s="6">
        <v>78.7</v>
      </c>
    </row>
    <row r="14" spans="1:5">
      <c r="A14">
        <v>9</v>
      </c>
      <c r="B14" s="5">
        <v>0.71409999999999996</v>
      </c>
      <c r="C14" s="5">
        <v>0.60160000000000002</v>
      </c>
      <c r="D14" s="6">
        <v>75.569999999999993</v>
      </c>
      <c r="E14" s="6">
        <v>79.3</v>
      </c>
    </row>
    <row r="15" spans="1:5">
      <c r="A15">
        <v>10</v>
      </c>
      <c r="B15" s="5">
        <v>0.68140000000000001</v>
      </c>
      <c r="C15" s="5">
        <v>0.5847</v>
      </c>
      <c r="D15" s="6">
        <v>76.760000000000005</v>
      </c>
      <c r="E15" s="6">
        <v>79.8</v>
      </c>
    </row>
    <row r="16" spans="1:5">
      <c r="A16">
        <v>11</v>
      </c>
      <c r="B16" s="5">
        <v>0.6603</v>
      </c>
      <c r="C16" s="5">
        <v>0.55249999999999999</v>
      </c>
      <c r="D16" s="6">
        <v>77.66</v>
      </c>
      <c r="E16" s="6">
        <v>80.099999999999994</v>
      </c>
    </row>
    <row r="17" spans="1:5">
      <c r="A17">
        <v>12</v>
      </c>
      <c r="B17" s="5">
        <v>0.63260000000000005</v>
      </c>
      <c r="C17" s="5">
        <v>0.5171</v>
      </c>
      <c r="D17" s="6">
        <v>78.33</v>
      </c>
      <c r="E17" s="6">
        <v>80.7</v>
      </c>
    </row>
    <row r="18" spans="1:5">
      <c r="A18">
        <v>13</v>
      </c>
      <c r="B18" s="5">
        <v>0.62109999999999999</v>
      </c>
      <c r="C18" s="5">
        <v>0.52090000000000003</v>
      </c>
      <c r="D18" s="6">
        <v>79</v>
      </c>
      <c r="E18" s="6">
        <v>82.1</v>
      </c>
    </row>
    <row r="19" spans="1:5">
      <c r="A19">
        <v>14</v>
      </c>
      <c r="B19" s="5">
        <v>0.59789999999999999</v>
      </c>
      <c r="C19" s="5">
        <v>0.54979999999999996</v>
      </c>
      <c r="D19" s="6">
        <v>79.709999999999994</v>
      </c>
      <c r="E19" s="6">
        <v>81.599999999999994</v>
      </c>
    </row>
    <row r="20" spans="1:5">
      <c r="A20">
        <v>15</v>
      </c>
      <c r="B20" s="5">
        <v>0.5806</v>
      </c>
      <c r="C20" s="5">
        <v>0.5151</v>
      </c>
      <c r="D20" s="6">
        <v>80.34</v>
      </c>
      <c r="E20" s="6">
        <v>82.6</v>
      </c>
    </row>
    <row r="21" spans="1:5">
      <c r="A21">
        <v>16</v>
      </c>
      <c r="B21" s="5">
        <v>0.57440000000000002</v>
      </c>
      <c r="C21" s="5">
        <v>0.52190000000000003</v>
      </c>
      <c r="D21" s="6">
        <v>80.64</v>
      </c>
      <c r="E21" s="6">
        <v>82</v>
      </c>
    </row>
    <row r="22" spans="1:5">
      <c r="A22">
        <v>17</v>
      </c>
      <c r="B22" s="5">
        <v>0.55230000000000001</v>
      </c>
      <c r="C22" s="5">
        <v>0.4718</v>
      </c>
      <c r="D22" s="6">
        <v>81.03</v>
      </c>
      <c r="E22" s="6">
        <v>83.5</v>
      </c>
    </row>
    <row r="23" spans="1:5">
      <c r="A23">
        <v>18</v>
      </c>
      <c r="B23" s="5">
        <v>0.53939999999999999</v>
      </c>
      <c r="C23" s="5">
        <v>0.45989999999999998</v>
      </c>
      <c r="D23" s="6">
        <v>81.72</v>
      </c>
      <c r="E23" s="6">
        <v>83.3</v>
      </c>
    </row>
    <row r="24" spans="1:5">
      <c r="A24">
        <v>19</v>
      </c>
      <c r="B24" s="5">
        <v>0.5232</v>
      </c>
      <c r="C24" s="5">
        <v>0.45400000000000001</v>
      </c>
      <c r="D24" s="6">
        <v>82.22</v>
      </c>
      <c r="E24" s="6">
        <v>85</v>
      </c>
    </row>
    <row r="25" spans="1:5">
      <c r="A25">
        <v>20</v>
      </c>
      <c r="B25" s="5">
        <v>0.51519999999999999</v>
      </c>
      <c r="C25" s="5">
        <v>0.44140000000000001</v>
      </c>
      <c r="D25" s="6">
        <v>82.51</v>
      </c>
      <c r="E25" s="6">
        <v>85.2</v>
      </c>
    </row>
    <row r="26" spans="1:5">
      <c r="A26">
        <v>21</v>
      </c>
      <c r="B26" s="5">
        <v>0.50729999999999997</v>
      </c>
      <c r="C26" s="5">
        <v>0.44280000000000003</v>
      </c>
      <c r="D26" s="6">
        <v>82.56</v>
      </c>
      <c r="E26" s="6">
        <v>84.5</v>
      </c>
    </row>
    <row r="27" spans="1:5">
      <c r="A27">
        <v>22</v>
      </c>
      <c r="B27" s="5">
        <v>0.4909</v>
      </c>
      <c r="C27" s="5">
        <v>0.44479999999999997</v>
      </c>
      <c r="D27" s="6">
        <v>83.24</v>
      </c>
      <c r="E27" s="6">
        <v>84.5</v>
      </c>
    </row>
    <row r="28" spans="1:5">
      <c r="A28">
        <v>23</v>
      </c>
      <c r="B28" s="5">
        <v>0.49149999999999999</v>
      </c>
      <c r="C28" s="5">
        <v>0.42270000000000002</v>
      </c>
      <c r="D28" s="6">
        <v>83.22</v>
      </c>
      <c r="E28" s="6">
        <v>85.3</v>
      </c>
    </row>
    <row r="29" spans="1:5">
      <c r="A29">
        <v>24</v>
      </c>
      <c r="B29" s="5">
        <v>0.47560000000000002</v>
      </c>
      <c r="C29" s="5">
        <v>0.441</v>
      </c>
      <c r="D29" s="6">
        <v>83.8</v>
      </c>
      <c r="E29" s="6">
        <v>85.8</v>
      </c>
    </row>
    <row r="30" spans="1:5">
      <c r="A30">
        <v>25</v>
      </c>
      <c r="B30" s="5">
        <v>0.47060000000000002</v>
      </c>
      <c r="C30" s="5">
        <v>0.42359999999999998</v>
      </c>
      <c r="D30" s="6">
        <v>84</v>
      </c>
      <c r="E30" s="6">
        <v>86.3</v>
      </c>
    </row>
    <row r="31" spans="1:5">
      <c r="A31">
        <v>26</v>
      </c>
      <c r="B31" s="5">
        <v>0.46089999999999998</v>
      </c>
      <c r="C31" s="5">
        <v>0.43580000000000002</v>
      </c>
      <c r="D31" s="6">
        <v>84.22</v>
      </c>
      <c r="E31" s="6">
        <v>86.1</v>
      </c>
    </row>
    <row r="32" spans="1:5">
      <c r="A32">
        <v>27</v>
      </c>
      <c r="B32" s="5">
        <v>0.45429999999999998</v>
      </c>
      <c r="C32" s="5">
        <v>0.41909999999999997</v>
      </c>
      <c r="D32" s="6">
        <v>84.65</v>
      </c>
      <c r="E32" s="6">
        <v>85.8</v>
      </c>
    </row>
    <row r="33" spans="1:5">
      <c r="A33">
        <v>28</v>
      </c>
      <c r="B33" s="5">
        <v>0.44679999999999997</v>
      </c>
      <c r="C33" s="5">
        <v>0.43020000000000003</v>
      </c>
      <c r="D33" s="6">
        <v>84.76</v>
      </c>
      <c r="E33" s="6">
        <v>85.5</v>
      </c>
    </row>
    <row r="34" spans="1:5">
      <c r="A34">
        <v>29</v>
      </c>
      <c r="B34" s="5">
        <v>0.43959999999999999</v>
      </c>
      <c r="C34" s="5">
        <v>0.39889999999999998</v>
      </c>
      <c r="D34" s="6">
        <v>85.1</v>
      </c>
      <c r="E34" s="6">
        <v>87.2</v>
      </c>
    </row>
    <row r="35" spans="1:5">
      <c r="A35">
        <v>30</v>
      </c>
      <c r="B35" s="5">
        <v>0.42880000000000001</v>
      </c>
      <c r="C35" s="5">
        <v>0.42580000000000001</v>
      </c>
      <c r="D35" s="6">
        <v>85.4</v>
      </c>
      <c r="E35" s="6">
        <v>86.1</v>
      </c>
    </row>
    <row r="36" spans="1:5">
      <c r="A36">
        <v>31</v>
      </c>
      <c r="B36" s="5">
        <v>0.42480000000000001</v>
      </c>
      <c r="C36" s="5">
        <v>0.41489999999999999</v>
      </c>
      <c r="D36" s="6">
        <v>85.5</v>
      </c>
      <c r="E36" s="6">
        <v>85.2</v>
      </c>
    </row>
    <row r="37" spans="1:5">
      <c r="A37">
        <v>32</v>
      </c>
      <c r="B37" s="5">
        <v>0.41889999999999999</v>
      </c>
      <c r="C37" s="5">
        <v>0.43340000000000001</v>
      </c>
      <c r="D37" s="6">
        <v>85.77</v>
      </c>
      <c r="E37" s="6">
        <v>85.6</v>
      </c>
    </row>
    <row r="38" spans="1:5">
      <c r="A38">
        <v>33</v>
      </c>
      <c r="B38" s="5">
        <v>0.41049999999999998</v>
      </c>
      <c r="C38" s="5">
        <v>0.4294</v>
      </c>
      <c r="D38" s="6">
        <v>85.98</v>
      </c>
      <c r="E38" s="6">
        <v>86.2</v>
      </c>
    </row>
    <row r="39" spans="1:5">
      <c r="A39">
        <v>34</v>
      </c>
      <c r="B39" s="5">
        <v>0.41060000000000002</v>
      </c>
      <c r="C39" s="5">
        <v>0.40679999999999999</v>
      </c>
      <c r="D39" s="6">
        <v>86.04</v>
      </c>
      <c r="E39" s="6">
        <v>86.5</v>
      </c>
    </row>
    <row r="40" spans="1:5">
      <c r="A40">
        <v>35</v>
      </c>
      <c r="B40" s="5">
        <v>0.39700000000000002</v>
      </c>
      <c r="C40" s="5">
        <v>0.4224</v>
      </c>
      <c r="D40" s="6">
        <v>86.48</v>
      </c>
      <c r="E40" s="6">
        <v>86.6</v>
      </c>
    </row>
    <row r="41" spans="1:5">
      <c r="A41">
        <v>36</v>
      </c>
      <c r="B41" s="5">
        <v>0.39179999999999998</v>
      </c>
      <c r="C41" s="5">
        <v>0.42749999999999999</v>
      </c>
      <c r="D41" s="6">
        <v>86.71</v>
      </c>
      <c r="E41" s="6">
        <v>86.4</v>
      </c>
    </row>
    <row r="42" spans="1:5">
      <c r="A42">
        <v>37</v>
      </c>
      <c r="B42" s="5">
        <v>0.38990000000000002</v>
      </c>
      <c r="C42" s="5">
        <v>0.4168</v>
      </c>
      <c r="D42" s="6">
        <v>86.56</v>
      </c>
      <c r="E42" s="6">
        <v>85.6</v>
      </c>
    </row>
    <row r="43" spans="1:5">
      <c r="A43">
        <v>38</v>
      </c>
      <c r="B43" s="5">
        <v>0.38329999999999997</v>
      </c>
      <c r="C43" s="5">
        <v>0.47160000000000002</v>
      </c>
      <c r="D43" s="6">
        <v>86.82</v>
      </c>
      <c r="E43" s="6">
        <v>85</v>
      </c>
    </row>
    <row r="44" spans="1:5">
      <c r="A44">
        <v>39</v>
      </c>
      <c r="B44" s="5">
        <v>0.38</v>
      </c>
      <c r="C44" s="5">
        <v>0.39529999999999998</v>
      </c>
      <c r="D44" s="6">
        <v>87.07</v>
      </c>
      <c r="E44" s="6">
        <v>87.6</v>
      </c>
    </row>
    <row r="45" spans="1:5">
      <c r="A45">
        <v>40</v>
      </c>
      <c r="B45" s="5">
        <v>0.37280000000000002</v>
      </c>
      <c r="C45" s="5">
        <v>0.36320000000000002</v>
      </c>
      <c r="D45" s="6">
        <v>87.29</v>
      </c>
      <c r="E45" s="6">
        <v>87.9</v>
      </c>
    </row>
    <row r="46" spans="1:5">
      <c r="A46">
        <v>41</v>
      </c>
      <c r="B46" s="5">
        <v>0.3664</v>
      </c>
      <c r="C46" s="5">
        <v>0.3745</v>
      </c>
      <c r="D46" s="6">
        <v>87.59</v>
      </c>
      <c r="E46" s="6">
        <v>87.7</v>
      </c>
    </row>
    <row r="47" spans="1:5">
      <c r="A47">
        <v>42</v>
      </c>
      <c r="B47" s="5">
        <v>0.36780000000000002</v>
      </c>
      <c r="C47" s="5">
        <v>0.38740000000000002</v>
      </c>
      <c r="D47" s="6">
        <v>87.41</v>
      </c>
      <c r="E47" s="6">
        <v>87</v>
      </c>
    </row>
    <row r="48" spans="1:5">
      <c r="A48">
        <v>43</v>
      </c>
      <c r="B48" s="5">
        <v>0.36559999999999998</v>
      </c>
      <c r="C48" s="5">
        <v>0.4128</v>
      </c>
      <c r="D48" s="6">
        <v>87.62</v>
      </c>
      <c r="E48" s="6">
        <v>87.1</v>
      </c>
    </row>
    <row r="49" spans="1:5">
      <c r="A49">
        <v>44</v>
      </c>
      <c r="B49" s="5">
        <v>0.35599999999999998</v>
      </c>
      <c r="C49" s="5">
        <v>0.39</v>
      </c>
      <c r="D49" s="6">
        <v>87.77</v>
      </c>
      <c r="E49" s="6">
        <v>87.4</v>
      </c>
    </row>
    <row r="50" spans="1:5">
      <c r="A50">
        <v>45</v>
      </c>
      <c r="B50" s="5">
        <v>0.3493</v>
      </c>
      <c r="C50" s="5">
        <v>0.34460000000000002</v>
      </c>
      <c r="D50" s="6">
        <v>88.11</v>
      </c>
      <c r="E50" s="6">
        <v>88.8</v>
      </c>
    </row>
    <row r="51" spans="1:5">
      <c r="A51">
        <v>46</v>
      </c>
      <c r="B51" s="5">
        <v>0.34720000000000001</v>
      </c>
      <c r="C51" s="5">
        <v>0.37030000000000002</v>
      </c>
      <c r="D51" s="6">
        <v>88.06</v>
      </c>
      <c r="E51" s="6">
        <v>87.6</v>
      </c>
    </row>
    <row r="52" spans="1:5">
      <c r="A52">
        <v>47</v>
      </c>
      <c r="B52" s="5">
        <v>0.33829999999999999</v>
      </c>
      <c r="C52" s="5">
        <v>0.39589999999999997</v>
      </c>
      <c r="D52" s="6">
        <v>88.38</v>
      </c>
      <c r="E52" s="6">
        <v>88.3</v>
      </c>
    </row>
    <row r="53" spans="1:5">
      <c r="A53">
        <v>48</v>
      </c>
      <c r="B53" s="5">
        <v>0.33929999999999999</v>
      </c>
      <c r="C53" s="5">
        <v>0.40060000000000001</v>
      </c>
      <c r="D53" s="6">
        <v>88.26</v>
      </c>
      <c r="E53" s="6">
        <v>87.4</v>
      </c>
    </row>
    <row r="54" spans="1:5">
      <c r="A54">
        <v>49</v>
      </c>
      <c r="B54" s="5">
        <v>0.3407</v>
      </c>
      <c r="C54" s="5">
        <v>0.3705</v>
      </c>
      <c r="D54" s="6">
        <v>88.39</v>
      </c>
      <c r="E54" s="6">
        <v>88</v>
      </c>
    </row>
    <row r="55" spans="1:5">
      <c r="A55">
        <v>50</v>
      </c>
      <c r="B55" s="5">
        <v>0.33139999999999997</v>
      </c>
      <c r="C55" s="5">
        <v>0.36220000000000002</v>
      </c>
      <c r="D55" s="6">
        <v>88.52</v>
      </c>
      <c r="E55" s="6">
        <v>88.5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5"/>
  <sheetViews>
    <sheetView topLeftCell="A27" workbookViewId="0">
      <selection sqref="A1:E1"/>
    </sheetView>
  </sheetViews>
  <sheetFormatPr baseColWidth="10" defaultColWidth="8.83203125" defaultRowHeight="15"/>
  <cols>
    <col min="1" max="1" width="10" customWidth="1"/>
    <col min="2" max="5" width="16" customWidth="1"/>
  </cols>
  <sheetData>
    <row r="1" spans="1:5" ht="46.25" customHeight="1">
      <c r="A1" s="15" t="s">
        <v>77</v>
      </c>
      <c r="B1" s="12"/>
      <c r="C1" s="12"/>
      <c r="D1" s="12"/>
      <c r="E1" s="12"/>
    </row>
    <row r="2" spans="1:5">
      <c r="A2" s="7" t="s">
        <v>21</v>
      </c>
      <c r="B2" t="s">
        <v>62</v>
      </c>
      <c r="C2" s="7" t="s">
        <v>24</v>
      </c>
      <c r="D2">
        <v>50</v>
      </c>
    </row>
    <row r="3" spans="1:5" ht="64" customHeight="1">
      <c r="A3" s="7" t="s">
        <v>7</v>
      </c>
      <c r="B3">
        <v>22.9</v>
      </c>
      <c r="C3" s="7" t="s">
        <v>67</v>
      </c>
      <c r="D3" s="8" t="s">
        <v>63</v>
      </c>
    </row>
    <row r="5" spans="1:5">
      <c r="A5" s="1" t="s">
        <v>2</v>
      </c>
      <c r="B5" s="1" t="s">
        <v>17</v>
      </c>
      <c r="C5" s="1" t="s">
        <v>18</v>
      </c>
      <c r="D5" s="1" t="s">
        <v>3</v>
      </c>
      <c r="E5" s="1" t="s">
        <v>4</v>
      </c>
    </row>
    <row r="6" spans="1:5">
      <c r="A6">
        <v>1</v>
      </c>
      <c r="B6" s="5">
        <v>1.3781000000000001</v>
      </c>
      <c r="C6" s="5">
        <v>1.2716000000000001</v>
      </c>
      <c r="D6" s="6">
        <v>49.36</v>
      </c>
      <c r="E6" s="6">
        <v>55.7</v>
      </c>
    </row>
    <row r="7" spans="1:5">
      <c r="A7">
        <v>2</v>
      </c>
      <c r="B7" s="5">
        <v>1.0206</v>
      </c>
      <c r="C7" s="5">
        <v>1.0296000000000001</v>
      </c>
      <c r="D7" s="6">
        <v>63.48</v>
      </c>
      <c r="E7" s="6">
        <v>65</v>
      </c>
    </row>
    <row r="8" spans="1:5">
      <c r="A8">
        <v>3</v>
      </c>
      <c r="B8" s="5">
        <v>0.871</v>
      </c>
      <c r="C8" s="5">
        <v>0.78349999999999997</v>
      </c>
      <c r="D8" s="6">
        <v>69.150000000000006</v>
      </c>
      <c r="E8" s="6">
        <v>74.3</v>
      </c>
    </row>
    <row r="9" spans="1:5">
      <c r="A9">
        <v>4</v>
      </c>
      <c r="B9" s="5">
        <v>0.77239999999999998</v>
      </c>
      <c r="C9" s="5">
        <v>0.65720000000000001</v>
      </c>
      <c r="D9" s="6">
        <v>72.75</v>
      </c>
      <c r="E9" s="6">
        <v>76.400000000000006</v>
      </c>
    </row>
    <row r="10" spans="1:5">
      <c r="A10">
        <v>5</v>
      </c>
      <c r="B10" s="5">
        <v>0.71660000000000001</v>
      </c>
      <c r="C10" s="5">
        <v>0.61270000000000002</v>
      </c>
      <c r="D10" s="6">
        <v>74.760000000000005</v>
      </c>
      <c r="E10" s="6">
        <v>80.5</v>
      </c>
    </row>
    <row r="11" spans="1:5">
      <c r="A11">
        <v>6</v>
      </c>
      <c r="B11" s="5">
        <v>0.67030000000000001</v>
      </c>
      <c r="C11" s="5">
        <v>0.62180000000000002</v>
      </c>
      <c r="D11" s="6">
        <v>76.52</v>
      </c>
      <c r="E11" s="6">
        <v>78.7</v>
      </c>
    </row>
    <row r="12" spans="1:5">
      <c r="A12">
        <v>7</v>
      </c>
      <c r="B12" s="5">
        <v>0.63580000000000003</v>
      </c>
      <c r="C12" s="5">
        <v>0.56169999999999998</v>
      </c>
      <c r="D12" s="6">
        <v>77.760000000000005</v>
      </c>
      <c r="E12" s="6">
        <v>81.7</v>
      </c>
    </row>
    <row r="13" spans="1:5">
      <c r="A13">
        <v>8</v>
      </c>
      <c r="B13" s="5">
        <v>0.60119999999999996</v>
      </c>
      <c r="C13" s="5">
        <v>0.5484</v>
      </c>
      <c r="D13" s="6">
        <v>78.86</v>
      </c>
      <c r="E13" s="6">
        <v>81</v>
      </c>
    </row>
    <row r="14" spans="1:5">
      <c r="A14">
        <v>9</v>
      </c>
      <c r="B14" s="5">
        <v>0.57520000000000004</v>
      </c>
      <c r="C14" s="5">
        <v>0.51739999999999997</v>
      </c>
      <c r="D14" s="6">
        <v>79.91</v>
      </c>
      <c r="E14" s="6">
        <v>82.1</v>
      </c>
    </row>
    <row r="15" spans="1:5">
      <c r="A15">
        <v>10</v>
      </c>
      <c r="B15" s="5">
        <v>0.55049999999999999</v>
      </c>
      <c r="C15" s="5">
        <v>0.54379999999999995</v>
      </c>
      <c r="D15" s="6">
        <v>80.66</v>
      </c>
      <c r="E15" s="6">
        <v>80.8</v>
      </c>
    </row>
    <row r="16" spans="1:5">
      <c r="A16">
        <v>11</v>
      </c>
      <c r="B16" s="5">
        <v>0.53349999999999997</v>
      </c>
      <c r="C16" s="5">
        <v>0.4698</v>
      </c>
      <c r="D16" s="6">
        <v>81.260000000000005</v>
      </c>
      <c r="E16" s="6">
        <v>84.9</v>
      </c>
    </row>
    <row r="17" spans="1:5">
      <c r="A17">
        <v>12</v>
      </c>
      <c r="B17" s="5">
        <v>0.51280000000000003</v>
      </c>
      <c r="C17" s="5">
        <v>0.46079999999999999</v>
      </c>
      <c r="D17" s="6">
        <v>82.01</v>
      </c>
      <c r="E17" s="6">
        <v>83.1</v>
      </c>
    </row>
    <row r="18" spans="1:5">
      <c r="A18">
        <v>13</v>
      </c>
      <c r="B18" s="5">
        <v>0.49859999999999999</v>
      </c>
      <c r="C18" s="5">
        <v>0.442</v>
      </c>
      <c r="D18" s="6">
        <v>82.54</v>
      </c>
      <c r="E18" s="6">
        <v>84.7</v>
      </c>
    </row>
    <row r="19" spans="1:5">
      <c r="A19">
        <v>14</v>
      </c>
      <c r="B19" s="5">
        <v>0.48230000000000001</v>
      </c>
      <c r="C19" s="5">
        <v>0.44400000000000001</v>
      </c>
      <c r="D19" s="6">
        <v>83.23</v>
      </c>
      <c r="E19" s="6">
        <v>86.3</v>
      </c>
    </row>
    <row r="20" spans="1:5">
      <c r="A20">
        <v>15</v>
      </c>
      <c r="B20" s="5">
        <v>0.4647</v>
      </c>
      <c r="C20" s="5">
        <v>0.44929999999999998</v>
      </c>
      <c r="D20" s="6">
        <v>83.81</v>
      </c>
      <c r="E20" s="6">
        <v>83.7</v>
      </c>
    </row>
    <row r="21" spans="1:5">
      <c r="A21">
        <v>16</v>
      </c>
      <c r="B21" s="5">
        <v>0.4572</v>
      </c>
      <c r="C21" s="5">
        <v>0.44069999999999998</v>
      </c>
      <c r="D21" s="6">
        <v>84.13</v>
      </c>
      <c r="E21" s="6">
        <v>85.8</v>
      </c>
    </row>
    <row r="22" spans="1:5">
      <c r="A22">
        <v>17</v>
      </c>
      <c r="B22" s="5">
        <v>0.44390000000000002</v>
      </c>
      <c r="C22" s="5">
        <v>0.46150000000000002</v>
      </c>
      <c r="D22" s="6">
        <v>84.48</v>
      </c>
      <c r="E22" s="6">
        <v>84.6</v>
      </c>
    </row>
    <row r="23" spans="1:5">
      <c r="A23">
        <v>18</v>
      </c>
      <c r="B23" s="5">
        <v>0.42730000000000001</v>
      </c>
      <c r="C23" s="5">
        <v>0.43790000000000001</v>
      </c>
      <c r="D23" s="6">
        <v>85.02</v>
      </c>
      <c r="E23" s="6">
        <v>84.6</v>
      </c>
    </row>
    <row r="24" spans="1:5">
      <c r="A24">
        <v>19</v>
      </c>
      <c r="B24" s="5">
        <v>0.41539999999999999</v>
      </c>
      <c r="C24" s="5">
        <v>0.3972</v>
      </c>
      <c r="D24" s="6">
        <v>85.48</v>
      </c>
      <c r="E24" s="6">
        <v>86.5</v>
      </c>
    </row>
    <row r="25" spans="1:5">
      <c r="A25">
        <v>20</v>
      </c>
      <c r="B25" s="5">
        <v>0.41110000000000002</v>
      </c>
      <c r="C25" s="5">
        <v>0.4279</v>
      </c>
      <c r="D25" s="6">
        <v>85.5</v>
      </c>
      <c r="E25" s="6">
        <v>85.7</v>
      </c>
    </row>
    <row r="26" spans="1:5">
      <c r="A26">
        <v>21</v>
      </c>
      <c r="B26" s="5">
        <v>0.39779999999999999</v>
      </c>
      <c r="C26" s="5">
        <v>0.4108</v>
      </c>
      <c r="D26" s="6">
        <v>86.2</v>
      </c>
      <c r="E26" s="6">
        <v>86.1</v>
      </c>
    </row>
    <row r="27" spans="1:5">
      <c r="A27">
        <v>22</v>
      </c>
      <c r="B27" s="5">
        <v>0.39129999999999998</v>
      </c>
      <c r="C27" s="5">
        <v>0.36730000000000002</v>
      </c>
      <c r="D27" s="6">
        <v>86.44</v>
      </c>
      <c r="E27" s="6">
        <v>87.4</v>
      </c>
    </row>
    <row r="28" spans="1:5">
      <c r="A28">
        <v>23</v>
      </c>
      <c r="B28" s="5">
        <v>0.38040000000000002</v>
      </c>
      <c r="C28" s="5">
        <v>0.40279999999999999</v>
      </c>
      <c r="D28" s="6">
        <v>86.58</v>
      </c>
      <c r="E28" s="6">
        <v>86.5</v>
      </c>
    </row>
    <row r="29" spans="1:5">
      <c r="A29">
        <v>24</v>
      </c>
      <c r="B29" s="5">
        <v>0.37490000000000001</v>
      </c>
      <c r="C29" s="5">
        <v>0.39079999999999998</v>
      </c>
      <c r="D29" s="6">
        <v>86.61</v>
      </c>
      <c r="E29" s="6">
        <v>86.6</v>
      </c>
    </row>
    <row r="30" spans="1:5">
      <c r="A30">
        <v>25</v>
      </c>
      <c r="B30" s="5">
        <v>0.3624</v>
      </c>
      <c r="C30" s="5">
        <v>0.42270000000000002</v>
      </c>
      <c r="D30" s="6">
        <v>87.28</v>
      </c>
      <c r="E30" s="6">
        <v>86.1</v>
      </c>
    </row>
    <row r="31" spans="1:5">
      <c r="A31">
        <v>26</v>
      </c>
      <c r="B31" s="5">
        <v>0.35649999999999998</v>
      </c>
      <c r="C31" s="5">
        <v>0.39629999999999999</v>
      </c>
      <c r="D31" s="6">
        <v>87.46</v>
      </c>
      <c r="E31" s="6">
        <v>87.1</v>
      </c>
    </row>
    <row r="32" spans="1:5">
      <c r="A32">
        <v>27</v>
      </c>
      <c r="B32" s="5">
        <v>0.35449999999999998</v>
      </c>
      <c r="C32" s="5">
        <v>0.40860000000000002</v>
      </c>
      <c r="D32" s="6">
        <v>87.64</v>
      </c>
      <c r="E32" s="6">
        <v>85.3</v>
      </c>
    </row>
    <row r="33" spans="1:5">
      <c r="A33">
        <v>28</v>
      </c>
      <c r="B33" s="5">
        <v>0.34160000000000001</v>
      </c>
      <c r="C33" s="5">
        <v>0.44940000000000002</v>
      </c>
      <c r="D33" s="6">
        <v>87.83</v>
      </c>
      <c r="E33" s="6">
        <v>85.8</v>
      </c>
    </row>
    <row r="34" spans="1:5">
      <c r="A34">
        <v>29</v>
      </c>
      <c r="B34" s="5">
        <v>0.34200000000000003</v>
      </c>
      <c r="C34" s="5">
        <v>0.35539999999999999</v>
      </c>
      <c r="D34" s="6">
        <v>87.94</v>
      </c>
      <c r="E34" s="6">
        <v>88.2</v>
      </c>
    </row>
    <row r="35" spans="1:5">
      <c r="A35">
        <v>30</v>
      </c>
      <c r="B35" s="5">
        <v>0.32529999999999998</v>
      </c>
      <c r="C35" s="5">
        <v>0.41299999999999998</v>
      </c>
      <c r="D35" s="6">
        <v>88.48</v>
      </c>
      <c r="E35" s="6">
        <v>86.8</v>
      </c>
    </row>
    <row r="36" spans="1:5">
      <c r="A36">
        <v>31</v>
      </c>
      <c r="B36" s="5">
        <v>0.32879999999999998</v>
      </c>
      <c r="C36" s="5">
        <v>0.38119999999999998</v>
      </c>
      <c r="D36" s="6">
        <v>88.25</v>
      </c>
      <c r="E36" s="6">
        <v>87.5</v>
      </c>
    </row>
    <row r="37" spans="1:5">
      <c r="A37">
        <v>32</v>
      </c>
      <c r="B37" s="5">
        <v>0.31919999999999998</v>
      </c>
      <c r="C37" s="5">
        <v>0.39800000000000002</v>
      </c>
      <c r="D37" s="6">
        <v>88.69</v>
      </c>
      <c r="E37" s="6">
        <v>87.9</v>
      </c>
    </row>
    <row r="38" spans="1:5">
      <c r="A38">
        <v>33</v>
      </c>
      <c r="B38" s="5">
        <v>0.31469999999999998</v>
      </c>
      <c r="C38" s="5">
        <v>0.36599999999999999</v>
      </c>
      <c r="D38" s="6">
        <v>88.84</v>
      </c>
      <c r="E38" s="6">
        <v>88.4</v>
      </c>
    </row>
    <row r="39" spans="1:5">
      <c r="A39">
        <v>34</v>
      </c>
      <c r="B39" s="5">
        <v>0.30809999999999998</v>
      </c>
      <c r="C39" s="5">
        <v>0.36880000000000002</v>
      </c>
      <c r="D39" s="6">
        <v>88.97</v>
      </c>
      <c r="E39" s="6">
        <v>87.6</v>
      </c>
    </row>
    <row r="40" spans="1:5">
      <c r="A40">
        <v>35</v>
      </c>
      <c r="B40" s="5">
        <v>0.3044</v>
      </c>
      <c r="C40" s="5">
        <v>0.34100000000000003</v>
      </c>
      <c r="D40" s="6">
        <v>89.09</v>
      </c>
      <c r="E40" s="6">
        <v>89</v>
      </c>
    </row>
    <row r="41" spans="1:5">
      <c r="A41">
        <v>36</v>
      </c>
      <c r="B41" s="5">
        <v>0.29849999999999999</v>
      </c>
      <c r="C41" s="5">
        <v>0.38190000000000002</v>
      </c>
      <c r="D41" s="6">
        <v>89.31</v>
      </c>
      <c r="E41" s="6">
        <v>87.4</v>
      </c>
    </row>
    <row r="42" spans="1:5">
      <c r="A42">
        <v>37</v>
      </c>
      <c r="B42" s="5">
        <v>0.29980000000000001</v>
      </c>
      <c r="C42" s="5">
        <v>0.39889999999999998</v>
      </c>
      <c r="D42" s="6">
        <v>89.38</v>
      </c>
      <c r="E42" s="6">
        <v>87.6</v>
      </c>
    </row>
    <row r="43" spans="1:5">
      <c r="A43">
        <v>38</v>
      </c>
      <c r="B43" s="5">
        <v>0.29020000000000001</v>
      </c>
      <c r="C43" s="5">
        <v>0.33229999999999998</v>
      </c>
      <c r="D43" s="6">
        <v>89.61</v>
      </c>
      <c r="E43" s="6">
        <v>89.6</v>
      </c>
    </row>
    <row r="44" spans="1:5">
      <c r="A44">
        <v>39</v>
      </c>
      <c r="B44" s="5">
        <v>0.28670000000000001</v>
      </c>
      <c r="C44" s="5">
        <v>0.33739999999999998</v>
      </c>
      <c r="D44" s="6">
        <v>89.84</v>
      </c>
      <c r="E44" s="6">
        <v>88.2</v>
      </c>
    </row>
    <row r="45" spans="1:5">
      <c r="A45">
        <v>40</v>
      </c>
      <c r="B45" s="5">
        <v>0.28310000000000002</v>
      </c>
      <c r="C45" s="5">
        <v>0.32990000000000003</v>
      </c>
      <c r="D45" s="6">
        <v>89.92</v>
      </c>
      <c r="E45" s="6">
        <v>89.8</v>
      </c>
    </row>
    <row r="46" spans="1:5">
      <c r="A46">
        <v>41</v>
      </c>
      <c r="B46" s="5">
        <v>0.27810000000000001</v>
      </c>
      <c r="C46" s="5">
        <v>0.35010000000000002</v>
      </c>
      <c r="D46" s="6">
        <v>90.05</v>
      </c>
      <c r="E46" s="6">
        <v>88.3</v>
      </c>
    </row>
    <row r="47" spans="1:5">
      <c r="A47">
        <v>42</v>
      </c>
      <c r="B47" s="5">
        <v>0.27210000000000001</v>
      </c>
      <c r="C47" s="5">
        <v>0.3513</v>
      </c>
      <c r="D47" s="6">
        <v>90.26</v>
      </c>
      <c r="E47" s="6">
        <v>89</v>
      </c>
    </row>
    <row r="48" spans="1:5">
      <c r="A48">
        <v>43</v>
      </c>
      <c r="B48" s="5">
        <v>0.26719999999999999</v>
      </c>
      <c r="C48" s="5">
        <v>0.36080000000000001</v>
      </c>
      <c r="D48" s="6">
        <v>90.26</v>
      </c>
      <c r="E48" s="6">
        <v>89.2</v>
      </c>
    </row>
    <row r="49" spans="1:5">
      <c r="A49">
        <v>44</v>
      </c>
      <c r="B49" s="5">
        <v>0.26529999999999998</v>
      </c>
      <c r="C49" s="5">
        <v>0.35389999999999999</v>
      </c>
      <c r="D49" s="6">
        <v>90.43</v>
      </c>
      <c r="E49" s="6">
        <v>89.3</v>
      </c>
    </row>
    <row r="50" spans="1:5">
      <c r="A50">
        <v>45</v>
      </c>
      <c r="B50" s="5">
        <v>0.26200000000000001</v>
      </c>
      <c r="C50" s="5">
        <v>0.37519999999999998</v>
      </c>
      <c r="D50" s="6">
        <v>90.68</v>
      </c>
      <c r="E50" s="6">
        <v>88.1</v>
      </c>
    </row>
    <row r="51" spans="1:5">
      <c r="A51">
        <v>46</v>
      </c>
      <c r="B51" s="5">
        <v>0.25740000000000002</v>
      </c>
      <c r="C51" s="5">
        <v>0.33610000000000001</v>
      </c>
      <c r="D51" s="6">
        <v>90.88</v>
      </c>
      <c r="E51" s="6">
        <v>90.1</v>
      </c>
    </row>
    <row r="52" spans="1:5">
      <c r="A52">
        <v>47</v>
      </c>
      <c r="B52" s="5">
        <v>0.25240000000000001</v>
      </c>
      <c r="C52" s="5">
        <v>0.34899999999999998</v>
      </c>
      <c r="D52" s="6">
        <v>90.98</v>
      </c>
      <c r="E52" s="6">
        <v>89.6</v>
      </c>
    </row>
    <row r="53" spans="1:5">
      <c r="A53">
        <v>48</v>
      </c>
      <c r="B53" s="5">
        <v>0.25159999999999999</v>
      </c>
      <c r="C53" s="5">
        <v>0.3659</v>
      </c>
      <c r="D53" s="6">
        <v>90.99</v>
      </c>
      <c r="E53" s="6">
        <v>89.2</v>
      </c>
    </row>
    <row r="54" spans="1:5">
      <c r="A54">
        <v>49</v>
      </c>
      <c r="B54" s="5">
        <v>0.25019999999999998</v>
      </c>
      <c r="C54" s="5">
        <v>0.35289999999999999</v>
      </c>
      <c r="D54" s="6">
        <v>90.98</v>
      </c>
      <c r="E54" s="6">
        <v>88.3</v>
      </c>
    </row>
    <row r="55" spans="1:5">
      <c r="A55">
        <v>50</v>
      </c>
      <c r="B55" s="5">
        <v>0.24410000000000001</v>
      </c>
      <c r="C55" s="5">
        <v>0.36080000000000001</v>
      </c>
      <c r="D55" s="6">
        <v>91.23</v>
      </c>
      <c r="E55" s="6">
        <v>89.5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106"/>
  <sheetViews>
    <sheetView tabSelected="1" topLeftCell="A16" zoomScale="75" workbookViewId="0">
      <selection activeCell="Q48" sqref="Q48"/>
    </sheetView>
  </sheetViews>
  <sheetFormatPr baseColWidth="10" defaultColWidth="8.83203125" defaultRowHeight="15"/>
  <cols>
    <col min="1" max="1" width="22" customWidth="1"/>
    <col min="2" max="2" width="14" customWidth="1"/>
    <col min="3" max="3" width="18" customWidth="1"/>
    <col min="4" max="4" width="3" customWidth="1"/>
    <col min="5" max="14" width="14" customWidth="1"/>
  </cols>
  <sheetData>
    <row r="1" spans="1:14" ht="21" customHeight="1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4" spans="1:14">
      <c r="A4" s="9" t="s">
        <v>2</v>
      </c>
      <c r="B4" s="9" t="s">
        <v>3</v>
      </c>
      <c r="C4" s="9" t="s">
        <v>4</v>
      </c>
    </row>
    <row r="5" spans="1:14">
      <c r="A5">
        <v>1</v>
      </c>
      <c r="B5" s="10">
        <v>35.72</v>
      </c>
      <c r="C5" s="10">
        <v>48.5</v>
      </c>
    </row>
    <row r="6" spans="1:14">
      <c r="A6">
        <v>2</v>
      </c>
      <c r="B6" s="10">
        <v>54.33</v>
      </c>
      <c r="C6" s="10">
        <v>59.5</v>
      </c>
    </row>
    <row r="7" spans="1:14">
      <c r="A7">
        <v>3</v>
      </c>
      <c r="B7" s="10">
        <v>63.66</v>
      </c>
      <c r="C7" s="10">
        <v>66.5</v>
      </c>
    </row>
    <row r="8" spans="1:14">
      <c r="A8">
        <v>4</v>
      </c>
      <c r="B8" s="10">
        <v>69.19</v>
      </c>
      <c r="C8" s="10">
        <v>68.2</v>
      </c>
    </row>
    <row r="9" spans="1:14">
      <c r="A9">
        <v>5</v>
      </c>
      <c r="B9" s="10">
        <v>73.66</v>
      </c>
      <c r="C9" s="10">
        <v>69.8</v>
      </c>
    </row>
    <row r="10" spans="1:14">
      <c r="A10">
        <v>6</v>
      </c>
      <c r="B10" s="10">
        <v>77.59</v>
      </c>
      <c r="C10" s="10">
        <v>72.599999999999994</v>
      </c>
    </row>
    <row r="11" spans="1:14">
      <c r="A11">
        <v>7</v>
      </c>
      <c r="B11" s="10">
        <v>80.91</v>
      </c>
      <c r="C11" s="10">
        <v>72.900000000000006</v>
      </c>
    </row>
    <row r="12" spans="1:14">
      <c r="A12">
        <v>8</v>
      </c>
      <c r="B12" s="10">
        <v>84.17</v>
      </c>
      <c r="C12" s="10">
        <v>74.400000000000006</v>
      </c>
    </row>
    <row r="13" spans="1:14">
      <c r="A13">
        <v>9</v>
      </c>
      <c r="B13" s="10">
        <v>86.22</v>
      </c>
      <c r="C13" s="10">
        <v>76</v>
      </c>
    </row>
    <row r="14" spans="1:14">
      <c r="A14">
        <v>10</v>
      </c>
      <c r="B14" s="10">
        <v>89.55</v>
      </c>
      <c r="C14" s="10">
        <v>75.7</v>
      </c>
    </row>
    <row r="15" spans="1:14">
      <c r="A15">
        <v>11</v>
      </c>
      <c r="B15" s="10">
        <v>91.13</v>
      </c>
      <c r="C15" s="10">
        <v>73.900000000000006</v>
      </c>
    </row>
    <row r="16" spans="1:14">
      <c r="A16">
        <v>12</v>
      </c>
      <c r="B16" s="10">
        <v>93.09</v>
      </c>
      <c r="C16" s="10">
        <v>74.8</v>
      </c>
    </row>
    <row r="17" spans="1:3">
      <c r="A17">
        <v>13</v>
      </c>
      <c r="B17" s="10">
        <v>94</v>
      </c>
      <c r="C17" s="10">
        <v>74.400000000000006</v>
      </c>
    </row>
    <row r="18" spans="1:3">
      <c r="A18">
        <v>14</v>
      </c>
      <c r="B18" s="10">
        <v>94.64</v>
      </c>
      <c r="C18" s="10">
        <v>73.599999999999994</v>
      </c>
    </row>
    <row r="19" spans="1:3">
      <c r="A19">
        <v>15</v>
      </c>
      <c r="B19" s="10">
        <v>95.54</v>
      </c>
      <c r="C19" s="10">
        <v>74.900000000000006</v>
      </c>
    </row>
    <row r="20" spans="1:3">
      <c r="A20">
        <v>16</v>
      </c>
      <c r="B20" s="10">
        <v>96.02</v>
      </c>
      <c r="C20" s="10">
        <v>74.3</v>
      </c>
    </row>
    <row r="21" spans="1:3">
      <c r="A21">
        <v>17</v>
      </c>
      <c r="B21" s="10">
        <v>96.22</v>
      </c>
      <c r="C21" s="10">
        <v>75.5</v>
      </c>
    </row>
    <row r="22" spans="1:3">
      <c r="A22">
        <v>18</v>
      </c>
      <c r="B22" s="10">
        <v>96.74</v>
      </c>
      <c r="C22" s="10">
        <v>73.8</v>
      </c>
    </row>
    <row r="23" spans="1:3">
      <c r="A23">
        <v>19</v>
      </c>
      <c r="B23" s="10">
        <v>96.67</v>
      </c>
      <c r="C23" s="10">
        <v>74.099999999999994</v>
      </c>
    </row>
    <row r="24" spans="1:3">
      <c r="A24">
        <v>20</v>
      </c>
      <c r="B24" s="10">
        <v>97.17</v>
      </c>
      <c r="C24" s="10">
        <v>74.599999999999994</v>
      </c>
    </row>
    <row r="25" spans="1:3">
      <c r="A25">
        <v>21</v>
      </c>
      <c r="B25" s="10">
        <v>97.37</v>
      </c>
      <c r="C25" s="10">
        <v>75.2</v>
      </c>
    </row>
    <row r="26" spans="1:3">
      <c r="A26">
        <v>22</v>
      </c>
      <c r="B26" s="10">
        <v>97.12</v>
      </c>
      <c r="C26" s="10">
        <v>73.8</v>
      </c>
    </row>
    <row r="27" spans="1:3">
      <c r="A27">
        <v>23</v>
      </c>
      <c r="B27" s="10">
        <v>97.15</v>
      </c>
      <c r="C27" s="10">
        <v>73.8</v>
      </c>
    </row>
    <row r="28" spans="1:3">
      <c r="A28">
        <v>24</v>
      </c>
      <c r="B28" s="10">
        <v>97.28</v>
      </c>
      <c r="C28" s="10">
        <v>74</v>
      </c>
    </row>
    <row r="29" spans="1:3">
      <c r="A29">
        <v>25</v>
      </c>
      <c r="B29" s="10">
        <v>97.37</v>
      </c>
      <c r="C29" s="10">
        <v>73.7</v>
      </c>
    </row>
    <row r="34" spans="1:18">
      <c r="A34" s="9" t="s">
        <v>5</v>
      </c>
      <c r="B34" s="9" t="s">
        <v>6</v>
      </c>
      <c r="C34" s="9" t="s">
        <v>7</v>
      </c>
    </row>
    <row r="35" spans="1:18">
      <c r="A35" t="s">
        <v>8</v>
      </c>
      <c r="B35" s="10">
        <v>76</v>
      </c>
      <c r="C35" s="10">
        <v>20.62</v>
      </c>
    </row>
    <row r="36" spans="1:18">
      <c r="A36" t="s">
        <v>9</v>
      </c>
      <c r="B36" s="10">
        <v>85.3</v>
      </c>
      <c r="C36" s="10">
        <v>13.77</v>
      </c>
    </row>
    <row r="37" spans="1:18">
      <c r="A37" t="s">
        <v>10</v>
      </c>
      <c r="B37" s="10">
        <v>82.9</v>
      </c>
      <c r="C37" s="10">
        <v>25.98</v>
      </c>
    </row>
    <row r="38" spans="1:18">
      <c r="A38" t="s">
        <v>11</v>
      </c>
      <c r="B38" s="10">
        <v>88.4</v>
      </c>
      <c r="C38" s="10">
        <v>36.08</v>
      </c>
    </row>
    <row r="39" spans="1:18">
      <c r="A39" t="s">
        <v>12</v>
      </c>
      <c r="B39" s="10">
        <v>89.7</v>
      </c>
      <c r="C39" s="10">
        <v>84.13</v>
      </c>
      <c r="R39" t="s">
        <v>78</v>
      </c>
    </row>
    <row r="45" spans="1:18">
      <c r="A45" s="9" t="s">
        <v>5</v>
      </c>
      <c r="B45" s="9" t="s">
        <v>6</v>
      </c>
      <c r="C45" s="9" t="s">
        <v>7</v>
      </c>
    </row>
    <row r="46" spans="1:18">
      <c r="A46" t="s">
        <v>12</v>
      </c>
      <c r="B46" s="10">
        <v>89.7</v>
      </c>
      <c r="C46" s="10">
        <v>84.13</v>
      </c>
    </row>
    <row r="47" spans="1:18">
      <c r="A47" t="s">
        <v>13</v>
      </c>
      <c r="B47" s="10">
        <v>89</v>
      </c>
      <c r="C47" s="10">
        <v>18.88</v>
      </c>
    </row>
    <row r="48" spans="1:18">
      <c r="A48" t="s">
        <v>14</v>
      </c>
      <c r="B48" s="10">
        <v>90.4</v>
      </c>
      <c r="C48" s="10">
        <v>47.55</v>
      </c>
    </row>
    <row r="49" spans="1:7">
      <c r="A49" t="s">
        <v>15</v>
      </c>
      <c r="B49" s="10">
        <v>88.8</v>
      </c>
      <c r="C49" s="10">
        <v>36.450000000000003</v>
      </c>
    </row>
    <row r="50" spans="1:7">
      <c r="A50" t="s">
        <v>16</v>
      </c>
      <c r="B50" s="10">
        <v>90.1</v>
      </c>
      <c r="C50" s="10">
        <v>22.9</v>
      </c>
    </row>
    <row r="56" spans="1:7">
      <c r="A56" s="9" t="s">
        <v>2</v>
      </c>
      <c r="B56" s="9" t="s">
        <v>3</v>
      </c>
      <c r="C56" s="9" t="s">
        <v>4</v>
      </c>
      <c r="E56" s="9" t="s">
        <v>2</v>
      </c>
      <c r="F56" s="9" t="s">
        <v>17</v>
      </c>
      <c r="G56" s="9" t="s">
        <v>18</v>
      </c>
    </row>
    <row r="57" spans="1:7">
      <c r="A57">
        <v>1</v>
      </c>
      <c r="B57" s="10">
        <v>40.71</v>
      </c>
      <c r="C57" s="10">
        <v>49</v>
      </c>
      <c r="E57">
        <v>1</v>
      </c>
      <c r="F57" s="10">
        <v>1.6019000000000001</v>
      </c>
      <c r="G57" s="10">
        <v>1.3762000000000001</v>
      </c>
    </row>
    <row r="58" spans="1:7">
      <c r="A58">
        <v>2</v>
      </c>
      <c r="B58" s="10">
        <v>55.82</v>
      </c>
      <c r="C58" s="10">
        <v>61.2</v>
      </c>
      <c r="E58">
        <v>2</v>
      </c>
      <c r="F58" s="10">
        <v>1.2332000000000001</v>
      </c>
      <c r="G58" s="10">
        <v>1.1386000000000001</v>
      </c>
    </row>
    <row r="59" spans="1:7">
      <c r="A59">
        <v>3</v>
      </c>
      <c r="B59" s="10">
        <v>63.3</v>
      </c>
      <c r="C59" s="10">
        <v>71.7</v>
      </c>
      <c r="E59">
        <v>3</v>
      </c>
      <c r="F59" s="10">
        <v>1.0458000000000001</v>
      </c>
      <c r="G59" s="10">
        <v>0.82089999999999996</v>
      </c>
    </row>
    <row r="60" spans="1:7">
      <c r="A60">
        <v>4</v>
      </c>
      <c r="B60" s="10">
        <v>68.709999999999994</v>
      </c>
      <c r="C60" s="10">
        <v>75.400000000000006</v>
      </c>
      <c r="E60">
        <v>4</v>
      </c>
      <c r="F60" s="10">
        <v>0.90820000000000001</v>
      </c>
      <c r="G60" s="10">
        <v>0.73</v>
      </c>
    </row>
    <row r="61" spans="1:7">
      <c r="A61">
        <v>5</v>
      </c>
      <c r="B61" s="10">
        <v>72.05</v>
      </c>
      <c r="C61" s="10">
        <v>78.599999999999994</v>
      </c>
      <c r="E61">
        <v>5</v>
      </c>
      <c r="F61" s="10">
        <v>0.81040000000000001</v>
      </c>
      <c r="G61" s="10">
        <v>0.64459999999999995</v>
      </c>
    </row>
    <row r="62" spans="1:7">
      <c r="A62">
        <v>6</v>
      </c>
      <c r="B62" s="10">
        <v>75.05</v>
      </c>
      <c r="C62" s="10">
        <v>80</v>
      </c>
      <c r="E62">
        <v>6</v>
      </c>
      <c r="F62" s="10">
        <v>0.73040000000000005</v>
      </c>
      <c r="G62" s="10">
        <v>0.5746</v>
      </c>
    </row>
    <row r="63" spans="1:7">
      <c r="A63">
        <v>7</v>
      </c>
      <c r="B63" s="10">
        <v>77.31</v>
      </c>
      <c r="C63" s="10">
        <v>81.7</v>
      </c>
      <c r="E63">
        <v>7</v>
      </c>
      <c r="F63" s="10">
        <v>0.66539999999999999</v>
      </c>
      <c r="G63" s="10">
        <v>0.52749999999999997</v>
      </c>
    </row>
    <row r="64" spans="1:7">
      <c r="A64">
        <v>8</v>
      </c>
      <c r="B64" s="10">
        <v>79.06</v>
      </c>
      <c r="C64" s="10">
        <v>83.3</v>
      </c>
      <c r="E64">
        <v>8</v>
      </c>
      <c r="F64" s="10">
        <v>0.61370000000000002</v>
      </c>
      <c r="G64" s="10">
        <v>0.50039999999999996</v>
      </c>
    </row>
    <row r="65" spans="1:7">
      <c r="A65">
        <v>9</v>
      </c>
      <c r="B65" s="10">
        <v>80.31</v>
      </c>
      <c r="C65" s="10">
        <v>84.1</v>
      </c>
      <c r="E65">
        <v>9</v>
      </c>
      <c r="F65" s="10">
        <v>0.57920000000000005</v>
      </c>
      <c r="G65" s="10">
        <v>0.4874</v>
      </c>
    </row>
    <row r="66" spans="1:7">
      <c r="A66">
        <v>10</v>
      </c>
      <c r="B66" s="10">
        <v>80.91</v>
      </c>
      <c r="C66" s="10">
        <v>83.7</v>
      </c>
      <c r="E66">
        <v>10</v>
      </c>
      <c r="F66" s="10">
        <v>0.56030000000000002</v>
      </c>
      <c r="G66" s="10">
        <v>0.48139999999999999</v>
      </c>
    </row>
    <row r="67" spans="1:7">
      <c r="A67">
        <v>11</v>
      </c>
      <c r="B67" s="10">
        <v>74.31</v>
      </c>
      <c r="C67" s="10">
        <v>77.599999999999994</v>
      </c>
      <c r="E67">
        <v>11</v>
      </c>
      <c r="F67" s="10">
        <v>0.75970000000000004</v>
      </c>
      <c r="G67" s="10">
        <v>0.65210000000000001</v>
      </c>
    </row>
    <row r="68" spans="1:7">
      <c r="A68">
        <v>12</v>
      </c>
      <c r="B68" s="10">
        <v>76.239999999999995</v>
      </c>
      <c r="C68" s="10">
        <v>79.8</v>
      </c>
      <c r="E68">
        <v>12</v>
      </c>
      <c r="F68" s="10">
        <v>0.70189999999999997</v>
      </c>
      <c r="G68" s="10">
        <v>0.58430000000000004</v>
      </c>
    </row>
    <row r="69" spans="1:7">
      <c r="A69">
        <v>13</v>
      </c>
      <c r="B69" s="10">
        <v>77.959999999999994</v>
      </c>
      <c r="C69" s="10">
        <v>81.900000000000006</v>
      </c>
      <c r="E69">
        <v>13</v>
      </c>
      <c r="F69" s="10">
        <v>0.65159999999999996</v>
      </c>
      <c r="G69" s="10">
        <v>0.53520000000000001</v>
      </c>
    </row>
    <row r="70" spans="1:7">
      <c r="A70">
        <v>14</v>
      </c>
      <c r="B70" s="10">
        <v>79.47</v>
      </c>
      <c r="C70" s="10">
        <v>82.2</v>
      </c>
      <c r="E70">
        <v>14</v>
      </c>
      <c r="F70" s="10">
        <v>0.60750000000000004</v>
      </c>
      <c r="G70" s="10">
        <v>0.49630000000000002</v>
      </c>
    </row>
    <row r="71" spans="1:7">
      <c r="A71">
        <v>15</v>
      </c>
      <c r="B71" s="10">
        <v>81.290000000000006</v>
      </c>
      <c r="C71" s="10">
        <v>82.6</v>
      </c>
      <c r="E71">
        <v>15</v>
      </c>
      <c r="F71" s="10">
        <v>0.55689999999999995</v>
      </c>
      <c r="G71" s="10">
        <v>0.48870000000000002</v>
      </c>
    </row>
    <row r="72" spans="1:7">
      <c r="A72">
        <v>16</v>
      </c>
      <c r="B72" s="10">
        <v>82.64</v>
      </c>
      <c r="C72" s="10">
        <v>85.4</v>
      </c>
      <c r="E72">
        <v>16</v>
      </c>
      <c r="F72" s="10">
        <v>0.51490000000000002</v>
      </c>
      <c r="G72" s="10">
        <v>0.43559999999999999</v>
      </c>
    </row>
    <row r="73" spans="1:7">
      <c r="A73">
        <v>17</v>
      </c>
      <c r="B73" s="10">
        <v>84.11</v>
      </c>
      <c r="C73" s="10">
        <v>85.6</v>
      </c>
      <c r="E73">
        <v>17</v>
      </c>
      <c r="F73" s="10">
        <v>0.47349999999999998</v>
      </c>
      <c r="G73" s="10">
        <v>0.40129999999999999</v>
      </c>
    </row>
    <row r="74" spans="1:7">
      <c r="A74">
        <v>18</v>
      </c>
      <c r="B74" s="10">
        <v>85.04</v>
      </c>
      <c r="C74" s="10">
        <v>86.6</v>
      </c>
      <c r="E74">
        <v>18</v>
      </c>
      <c r="F74" s="10">
        <v>0.43980000000000002</v>
      </c>
      <c r="G74" s="10">
        <v>0.3695</v>
      </c>
    </row>
    <row r="75" spans="1:7">
      <c r="A75">
        <v>19</v>
      </c>
      <c r="B75" s="10">
        <v>85.72</v>
      </c>
      <c r="C75" s="10">
        <v>86.5</v>
      </c>
      <c r="E75">
        <v>19</v>
      </c>
      <c r="F75" s="10">
        <v>0.41930000000000001</v>
      </c>
      <c r="G75" s="10">
        <v>0.3674</v>
      </c>
    </row>
    <row r="76" spans="1:7">
      <c r="A76">
        <v>20</v>
      </c>
      <c r="B76" s="10">
        <v>86.21</v>
      </c>
      <c r="C76" s="10">
        <v>86.9</v>
      </c>
      <c r="E76">
        <v>20</v>
      </c>
      <c r="F76" s="10">
        <v>0.4088</v>
      </c>
      <c r="G76" s="10">
        <v>0.36559999999999998</v>
      </c>
    </row>
    <row r="77" spans="1:7">
      <c r="A77">
        <v>21</v>
      </c>
      <c r="B77" s="10">
        <v>80.319999999999993</v>
      </c>
      <c r="C77" s="10">
        <v>83.2</v>
      </c>
      <c r="E77">
        <v>21</v>
      </c>
      <c r="F77" s="10">
        <v>0.58050000000000002</v>
      </c>
      <c r="G77" s="10">
        <v>0.50149999999999995</v>
      </c>
    </row>
    <row r="78" spans="1:7">
      <c r="A78">
        <v>22</v>
      </c>
      <c r="B78" s="10">
        <v>81.3</v>
      </c>
      <c r="C78" s="10">
        <v>83.6</v>
      </c>
      <c r="E78">
        <v>22</v>
      </c>
      <c r="F78" s="10">
        <v>0.55940000000000001</v>
      </c>
      <c r="G78" s="10">
        <v>0.48280000000000001</v>
      </c>
    </row>
    <row r="79" spans="1:7">
      <c r="A79">
        <v>23</v>
      </c>
      <c r="B79" s="10">
        <v>82.38</v>
      </c>
      <c r="C79" s="10">
        <v>85.5</v>
      </c>
      <c r="E79">
        <v>23</v>
      </c>
      <c r="F79" s="10">
        <v>0.5252</v>
      </c>
      <c r="G79" s="10">
        <v>0.43890000000000001</v>
      </c>
    </row>
    <row r="80" spans="1:7">
      <c r="A80">
        <v>24</v>
      </c>
      <c r="B80" s="10">
        <v>83.36</v>
      </c>
      <c r="C80" s="10">
        <v>85.6</v>
      </c>
      <c r="E80">
        <v>24</v>
      </c>
      <c r="F80" s="10">
        <v>0.49249999999999999</v>
      </c>
      <c r="G80" s="10">
        <v>0.43980000000000002</v>
      </c>
    </row>
    <row r="81" spans="1:7">
      <c r="A81">
        <v>25</v>
      </c>
      <c r="B81" s="10">
        <v>84.54</v>
      </c>
      <c r="C81" s="10">
        <v>86.6</v>
      </c>
      <c r="E81">
        <v>25</v>
      </c>
      <c r="F81" s="10">
        <v>0.45650000000000002</v>
      </c>
      <c r="G81" s="10">
        <v>0.38500000000000001</v>
      </c>
    </row>
    <row r="82" spans="1:7">
      <c r="A82">
        <v>26</v>
      </c>
      <c r="B82" s="10">
        <v>85.53</v>
      </c>
      <c r="C82" s="10">
        <v>86.8</v>
      </c>
      <c r="E82">
        <v>26</v>
      </c>
      <c r="F82" s="10">
        <v>0.42430000000000001</v>
      </c>
      <c r="G82" s="10">
        <v>0.36609999999999998</v>
      </c>
    </row>
    <row r="83" spans="1:7">
      <c r="A83">
        <v>27</v>
      </c>
      <c r="B83" s="10">
        <v>86.78</v>
      </c>
      <c r="C83" s="10">
        <v>87.9</v>
      </c>
      <c r="E83">
        <v>27</v>
      </c>
      <c r="F83" s="10">
        <v>0.38950000000000001</v>
      </c>
      <c r="G83" s="10">
        <v>0.35670000000000002</v>
      </c>
    </row>
    <row r="84" spans="1:7">
      <c r="A84">
        <v>28</v>
      </c>
      <c r="B84" s="10">
        <v>87.52</v>
      </c>
      <c r="C84" s="10">
        <v>88</v>
      </c>
      <c r="E84">
        <v>28</v>
      </c>
      <c r="F84" s="10">
        <v>0.36899999999999999</v>
      </c>
      <c r="G84" s="10">
        <v>0.35930000000000001</v>
      </c>
    </row>
    <row r="85" spans="1:7">
      <c r="A85">
        <v>29</v>
      </c>
      <c r="B85" s="10">
        <v>88.26</v>
      </c>
      <c r="C85" s="10">
        <v>88.8</v>
      </c>
      <c r="E85">
        <v>29</v>
      </c>
      <c r="F85" s="10">
        <v>0.34350000000000003</v>
      </c>
      <c r="G85" s="10">
        <v>0.34470000000000001</v>
      </c>
    </row>
    <row r="86" spans="1:7">
      <c r="A86">
        <v>30</v>
      </c>
      <c r="B86" s="10">
        <v>88.49</v>
      </c>
      <c r="C86" s="10">
        <v>88.7</v>
      </c>
      <c r="E86">
        <v>30</v>
      </c>
      <c r="F86" s="10">
        <v>0.33860000000000001</v>
      </c>
      <c r="G86" s="10">
        <v>0.34200000000000003</v>
      </c>
    </row>
    <row r="87" spans="1:7">
      <c r="A87">
        <v>31</v>
      </c>
      <c r="B87" s="10">
        <v>83.56</v>
      </c>
      <c r="C87" s="10">
        <v>83.9</v>
      </c>
      <c r="E87">
        <v>31</v>
      </c>
      <c r="F87" s="10">
        <v>0.48720000000000002</v>
      </c>
      <c r="G87" s="10">
        <v>0.44979999999999998</v>
      </c>
    </row>
    <row r="88" spans="1:7">
      <c r="A88">
        <v>32</v>
      </c>
      <c r="B88" s="10">
        <v>84.06</v>
      </c>
      <c r="C88" s="10">
        <v>84.6</v>
      </c>
      <c r="E88">
        <v>32</v>
      </c>
      <c r="F88" s="10">
        <v>0.47510000000000002</v>
      </c>
      <c r="G88" s="10">
        <v>0.4506</v>
      </c>
    </row>
    <row r="89" spans="1:7">
      <c r="A89">
        <v>33</v>
      </c>
      <c r="B89" s="10">
        <v>84.51</v>
      </c>
      <c r="C89" s="10">
        <v>85.5</v>
      </c>
      <c r="E89">
        <v>33</v>
      </c>
      <c r="F89" s="10">
        <v>0.45440000000000003</v>
      </c>
      <c r="G89" s="10">
        <v>0.40860000000000002</v>
      </c>
    </row>
    <row r="90" spans="1:7">
      <c r="A90">
        <v>34</v>
      </c>
      <c r="B90" s="10">
        <v>85.64</v>
      </c>
      <c r="C90" s="10">
        <v>86.2</v>
      </c>
      <c r="E90">
        <v>34</v>
      </c>
      <c r="F90" s="10">
        <v>0.42320000000000002</v>
      </c>
      <c r="G90" s="10">
        <v>0.38919999999999999</v>
      </c>
    </row>
    <row r="91" spans="1:7">
      <c r="A91">
        <v>35</v>
      </c>
      <c r="B91" s="10">
        <v>86.71</v>
      </c>
      <c r="C91" s="10">
        <v>88</v>
      </c>
      <c r="E91">
        <v>35</v>
      </c>
      <c r="F91" s="10">
        <v>0.39479999999999998</v>
      </c>
      <c r="G91" s="10">
        <v>0.36059999999999998</v>
      </c>
    </row>
    <row r="92" spans="1:7">
      <c r="A92">
        <v>36</v>
      </c>
      <c r="B92" s="10">
        <v>87.65</v>
      </c>
      <c r="C92" s="10">
        <v>89.6</v>
      </c>
      <c r="E92">
        <v>36</v>
      </c>
      <c r="F92" s="10">
        <v>0.36520000000000002</v>
      </c>
      <c r="G92" s="10">
        <v>0.34760000000000002</v>
      </c>
    </row>
    <row r="93" spans="1:7">
      <c r="A93">
        <v>37</v>
      </c>
      <c r="B93" s="10">
        <v>88.57</v>
      </c>
      <c r="C93" s="10">
        <v>88.7</v>
      </c>
      <c r="E93">
        <v>37</v>
      </c>
      <c r="F93" s="10">
        <v>0.3357</v>
      </c>
      <c r="G93" s="10">
        <v>0.33479999999999999</v>
      </c>
    </row>
    <row r="94" spans="1:7">
      <c r="A94">
        <v>38</v>
      </c>
      <c r="B94" s="10">
        <v>89.11</v>
      </c>
      <c r="C94" s="10">
        <v>89.1</v>
      </c>
      <c r="E94">
        <v>38</v>
      </c>
      <c r="F94" s="10">
        <v>0.3165</v>
      </c>
      <c r="G94" s="10">
        <v>0.33760000000000001</v>
      </c>
    </row>
    <row r="95" spans="1:7">
      <c r="A95">
        <v>39</v>
      </c>
      <c r="B95" s="10">
        <v>89.69</v>
      </c>
      <c r="C95" s="10">
        <v>88.7</v>
      </c>
      <c r="E95">
        <v>39</v>
      </c>
      <c r="F95" s="10">
        <v>0.30170000000000002</v>
      </c>
      <c r="G95" s="10">
        <v>0.33679999999999999</v>
      </c>
    </row>
    <row r="96" spans="1:7">
      <c r="A96">
        <v>40</v>
      </c>
      <c r="B96" s="10">
        <v>89.93</v>
      </c>
      <c r="C96" s="10">
        <v>89.3</v>
      </c>
      <c r="E96">
        <v>40</v>
      </c>
      <c r="F96" s="10">
        <v>0.29389999999999999</v>
      </c>
      <c r="G96" s="10">
        <v>0.33860000000000001</v>
      </c>
    </row>
    <row r="97" spans="1:7">
      <c r="A97">
        <v>41</v>
      </c>
      <c r="B97" s="10">
        <v>85.74</v>
      </c>
      <c r="C97" s="10">
        <v>86.9</v>
      </c>
      <c r="E97">
        <v>41</v>
      </c>
      <c r="F97" s="10">
        <v>0.42130000000000001</v>
      </c>
      <c r="G97" s="10">
        <v>0.40350000000000003</v>
      </c>
    </row>
    <row r="98" spans="1:7">
      <c r="A98">
        <v>42</v>
      </c>
      <c r="B98" s="10">
        <v>85.8</v>
      </c>
      <c r="C98" s="10">
        <v>86.6</v>
      </c>
      <c r="E98">
        <v>42</v>
      </c>
      <c r="F98" s="10">
        <v>0.42320000000000002</v>
      </c>
      <c r="G98" s="10">
        <v>0.35749999999999998</v>
      </c>
    </row>
    <row r="99" spans="1:7">
      <c r="A99">
        <v>43</v>
      </c>
      <c r="B99" s="10">
        <v>86.4</v>
      </c>
      <c r="C99" s="10">
        <v>86.6</v>
      </c>
      <c r="E99">
        <v>43</v>
      </c>
      <c r="F99" s="10">
        <v>0.40100000000000002</v>
      </c>
      <c r="G99" s="10">
        <v>0.4254</v>
      </c>
    </row>
    <row r="100" spans="1:7">
      <c r="A100">
        <v>44</v>
      </c>
      <c r="B100" s="10">
        <v>86.94</v>
      </c>
      <c r="C100" s="10">
        <v>86.5</v>
      </c>
      <c r="E100">
        <v>44</v>
      </c>
      <c r="F100" s="10">
        <v>0.37990000000000002</v>
      </c>
      <c r="G100" s="10">
        <v>0.39810000000000001</v>
      </c>
    </row>
    <row r="101" spans="1:7">
      <c r="A101">
        <v>45</v>
      </c>
      <c r="B101" s="10">
        <v>88.19</v>
      </c>
      <c r="C101" s="10">
        <v>87.6</v>
      </c>
      <c r="E101">
        <v>45</v>
      </c>
      <c r="F101" s="10">
        <v>0.35</v>
      </c>
      <c r="G101" s="10">
        <v>0.37409999999999999</v>
      </c>
    </row>
    <row r="102" spans="1:7">
      <c r="A102">
        <v>46</v>
      </c>
      <c r="B102" s="10">
        <v>89.08</v>
      </c>
      <c r="C102" s="10">
        <v>89</v>
      </c>
      <c r="E102">
        <v>46</v>
      </c>
      <c r="F102" s="10">
        <v>0.31950000000000001</v>
      </c>
      <c r="G102" s="10">
        <v>0.32269999999999999</v>
      </c>
    </row>
    <row r="103" spans="1:7">
      <c r="A103">
        <v>47</v>
      </c>
      <c r="B103" s="10">
        <v>89.65</v>
      </c>
      <c r="C103" s="10">
        <v>90.2</v>
      </c>
      <c r="E103">
        <v>47</v>
      </c>
      <c r="F103" s="10">
        <v>0.30020000000000002</v>
      </c>
      <c r="G103" s="10">
        <v>0.32619999999999999</v>
      </c>
    </row>
    <row r="104" spans="1:7">
      <c r="A104">
        <v>48</v>
      </c>
      <c r="B104" s="10">
        <v>90.42</v>
      </c>
      <c r="C104" s="10">
        <v>90.4</v>
      </c>
      <c r="E104">
        <v>48</v>
      </c>
      <c r="F104" s="10">
        <v>0.27710000000000001</v>
      </c>
      <c r="G104" s="10">
        <v>0.30409999999999998</v>
      </c>
    </row>
    <row r="105" spans="1:7">
      <c r="A105">
        <v>49</v>
      </c>
      <c r="B105" s="10">
        <v>90.93</v>
      </c>
      <c r="C105" s="10">
        <v>89.9</v>
      </c>
      <c r="E105">
        <v>49</v>
      </c>
      <c r="F105" s="10">
        <v>0.26469999999999999</v>
      </c>
      <c r="G105" s="10">
        <v>0.30830000000000002</v>
      </c>
    </row>
    <row r="106" spans="1:7">
      <c r="A106">
        <v>50</v>
      </c>
      <c r="B106" s="10">
        <v>91.03</v>
      </c>
      <c r="C106" s="10">
        <v>90.1</v>
      </c>
      <c r="E106">
        <v>50</v>
      </c>
      <c r="F106" s="10">
        <v>0.26029999999999998</v>
      </c>
      <c r="G106" s="10">
        <v>0.30530000000000002</v>
      </c>
    </row>
  </sheetData>
  <mergeCells count="2">
    <mergeCell ref="A2:N2"/>
    <mergeCell ref="A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All_Data</vt:lpstr>
      <vt:lpstr>P1</vt:lpstr>
      <vt:lpstr>P2</vt:lpstr>
      <vt:lpstr>P3</vt:lpstr>
      <vt:lpstr>P4a</vt:lpstr>
      <vt:lpstr>P4b</vt:lpstr>
      <vt:lpstr>P4c</vt:lpstr>
      <vt:lpstr>P5</vt:lpstr>
      <vt:lpstr>P6a</vt:lpstr>
      <vt:lpstr>P6b</vt:lpstr>
      <vt:lpstr>P6c</vt:lpstr>
      <vt:lpstr>P6d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Ines Appelquist</cp:lastModifiedBy>
  <dcterms:created xsi:type="dcterms:W3CDTF">2026-05-21T08:54:04Z</dcterms:created>
  <dcterms:modified xsi:type="dcterms:W3CDTF">2026-05-21T16:12:37Z</dcterms:modified>
</cp:coreProperties>
</file>